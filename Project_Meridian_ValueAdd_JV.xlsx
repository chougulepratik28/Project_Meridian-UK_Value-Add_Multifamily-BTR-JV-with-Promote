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pratikchougule/Desktop/Projects/big/"/>
    </mc:Choice>
  </mc:AlternateContent>
  <xr:revisionPtr revIDLastSave="0" documentId="13_ncr:1_{EBC918B4-7DF9-BD4E-95DE-E2C9799AA117}" xr6:coauthVersionLast="47" xr6:coauthVersionMax="47" xr10:uidLastSave="{00000000-0000-0000-0000-000000000000}"/>
  <bookViews>
    <workbookView xWindow="0" yWindow="660" windowWidth="26880" windowHeight="17120" tabRatio="500" activeTab="4" xr2:uid="{00000000-000D-0000-FFFF-FFFF00000000}"/>
  </bookViews>
  <sheets>
    <sheet name="Cover" sheetId="1" r:id="rId1"/>
    <sheet name="Assumptions" sheetId="2" r:id="rId2"/>
    <sheet name="Property Model" sheetId="3" r:id="rId3"/>
    <sheet name="JV Waterfall" sheetId="4" r:id="rId4"/>
    <sheet name="IC Summary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9" i="5" l="1"/>
  <c r="E8" i="5"/>
  <c r="E7" i="5"/>
  <c r="C19" i="3"/>
  <c r="C39" i="3" s="1"/>
  <c r="E16" i="3"/>
  <c r="D16" i="3"/>
  <c r="I12" i="3"/>
  <c r="H12" i="3"/>
  <c r="G12" i="3"/>
  <c r="F12" i="3"/>
  <c r="E12" i="3"/>
  <c r="D12" i="3"/>
  <c r="D10" i="3"/>
  <c r="I9" i="3"/>
  <c r="I10" i="3" s="1"/>
  <c r="H9" i="3"/>
  <c r="H10" i="3" s="1"/>
  <c r="G9" i="3"/>
  <c r="G10" i="3" s="1"/>
  <c r="F9" i="3"/>
  <c r="F10" i="3" s="1"/>
  <c r="E9" i="3"/>
  <c r="E10" i="3" s="1"/>
  <c r="D9" i="3"/>
  <c r="D8" i="3"/>
  <c r="E8" i="3" s="1"/>
  <c r="D7" i="3"/>
  <c r="E7" i="3" s="1"/>
  <c r="F7" i="3" s="1"/>
  <c r="G7" i="3" s="1"/>
  <c r="H7" i="3" s="1"/>
  <c r="I7" i="3" s="1"/>
  <c r="D11" i="3" l="1"/>
  <c r="D13" i="3" s="1"/>
  <c r="F8" i="3"/>
  <c r="E11" i="3"/>
  <c r="E13" i="3" s="1"/>
  <c r="D14" i="3"/>
  <c r="D15" i="3"/>
  <c r="C20" i="3"/>
  <c r="C21" i="3" l="1"/>
  <c r="C22" i="3"/>
  <c r="E12" i="5" s="1"/>
  <c r="E10" i="5"/>
  <c r="D39" i="3"/>
  <c r="C46" i="3"/>
  <c r="E14" i="3"/>
  <c r="E15" i="3" s="1"/>
  <c r="F11" i="3"/>
  <c r="F13" i="3" s="1"/>
  <c r="G8" i="3"/>
  <c r="E39" i="3" l="1"/>
  <c r="H8" i="3"/>
  <c r="G11" i="3"/>
  <c r="G13" i="3" s="1"/>
  <c r="F14" i="3"/>
  <c r="F15" i="3" s="1"/>
  <c r="F24" i="3"/>
  <c r="E11" i="5"/>
  <c r="E24" i="3"/>
  <c r="E40" i="3" s="1"/>
  <c r="D24" i="3"/>
  <c r="D40" i="3" s="1"/>
  <c r="C40" i="3"/>
  <c r="F42" i="5" l="1"/>
  <c r="E42" i="5"/>
  <c r="D42" i="5"/>
  <c r="C42" i="5"/>
  <c r="E7" i="4"/>
  <c r="G42" i="5"/>
  <c r="C47" i="3"/>
  <c r="F39" i="3"/>
  <c r="G40" i="5"/>
  <c r="F40" i="5"/>
  <c r="E40" i="5"/>
  <c r="C7" i="4"/>
  <c r="D40" i="5"/>
  <c r="C40" i="5"/>
  <c r="I8" i="3"/>
  <c r="I11" i="3" s="1"/>
  <c r="I13" i="3" s="1"/>
  <c r="H11" i="3"/>
  <c r="H13" i="3" s="1"/>
  <c r="C41" i="5"/>
  <c r="G41" i="5"/>
  <c r="F41" i="5"/>
  <c r="D7" i="4"/>
  <c r="E41" i="5"/>
  <c r="D41" i="5"/>
  <c r="G14" i="3"/>
  <c r="G15" i="3" s="1"/>
  <c r="F26" i="3" l="1"/>
  <c r="F27" i="3" s="1"/>
  <c r="G39" i="3"/>
  <c r="C8" i="4"/>
  <c r="C9" i="4"/>
  <c r="C10" i="4"/>
  <c r="E9" i="4"/>
  <c r="E10" i="4"/>
  <c r="E8" i="4"/>
  <c r="D8" i="4"/>
  <c r="D9" i="4"/>
  <c r="D10" i="4"/>
  <c r="I14" i="3"/>
  <c r="I15" i="3" s="1"/>
  <c r="C32" i="3" s="1"/>
  <c r="H14" i="3"/>
  <c r="H15" i="3" s="1"/>
  <c r="C16" i="4" l="1"/>
  <c r="C33" i="3"/>
  <c r="C34" i="3" s="1"/>
  <c r="C14" i="4"/>
  <c r="G29" i="3"/>
  <c r="G40" i="3" s="1"/>
  <c r="F28" i="3"/>
  <c r="F40" i="3" s="1"/>
  <c r="C35" i="3"/>
  <c r="H29" i="3"/>
  <c r="F45" i="5" s="1"/>
  <c r="C45" i="5" l="1"/>
  <c r="D45" i="5"/>
  <c r="C36" i="3"/>
  <c r="E45" i="5"/>
  <c r="H40" i="3"/>
  <c r="H7" i="4" s="1"/>
  <c r="H9" i="4" s="1"/>
  <c r="G45" i="5"/>
  <c r="H10" i="4"/>
  <c r="C17" i="4"/>
  <c r="G43" i="5"/>
  <c r="F43" i="5"/>
  <c r="E43" i="5"/>
  <c r="F7" i="4"/>
  <c r="D43" i="5"/>
  <c r="C43" i="5"/>
  <c r="D44" i="5"/>
  <c r="C44" i="5"/>
  <c r="G7" i="4"/>
  <c r="G44" i="5"/>
  <c r="F44" i="5"/>
  <c r="E44" i="5"/>
  <c r="H39" i="3"/>
  <c r="H8" i="4" l="1"/>
  <c r="G22" i="5"/>
  <c r="C44" i="3"/>
  <c r="C16" i="5" s="1"/>
  <c r="F22" i="5"/>
  <c r="C45" i="3"/>
  <c r="C17" i="5" s="1"/>
  <c r="C42" i="3"/>
  <c r="C18" i="5" s="1"/>
  <c r="C43" i="3"/>
  <c r="C18" i="4"/>
  <c r="C19" i="4" s="1"/>
  <c r="D22" i="5"/>
  <c r="F9" i="4"/>
  <c r="F10" i="4"/>
  <c r="F8" i="4"/>
  <c r="C22" i="5"/>
  <c r="G10" i="4"/>
  <c r="G8" i="4"/>
  <c r="G9" i="4"/>
  <c r="E22" i="5"/>
  <c r="C25" i="4" l="1"/>
  <c r="C22" i="4"/>
  <c r="D13" i="4" s="1"/>
  <c r="D14" i="4" s="1"/>
  <c r="C20" i="4"/>
  <c r="C21" i="4"/>
  <c r="C26" i="4" l="1"/>
  <c r="C27" i="4" s="1"/>
  <c r="C23" i="4"/>
  <c r="D15" i="4" s="1"/>
  <c r="D16" i="4" s="1"/>
  <c r="C28" i="4" l="1"/>
  <c r="C29" i="4"/>
  <c r="C30" i="4"/>
  <c r="C32" i="4" s="1"/>
  <c r="D17" i="4"/>
  <c r="D18" i="4" l="1"/>
  <c r="C33" i="4"/>
  <c r="C34" i="4"/>
  <c r="C36" i="4" s="1"/>
  <c r="C38" i="4" s="1"/>
  <c r="C35" i="4"/>
  <c r="C37" i="4" s="1"/>
  <c r="C31" i="4"/>
  <c r="D24" i="4" s="1"/>
  <c r="D21" i="4" l="1"/>
  <c r="D19" i="4"/>
  <c r="D22" i="4" l="1"/>
  <c r="E13" i="4" s="1"/>
  <c r="E14" i="4" s="1"/>
  <c r="D20" i="4"/>
  <c r="D25" i="4"/>
  <c r="D23" i="4" l="1"/>
  <c r="E15" i="4" s="1"/>
  <c r="E16" i="4" s="1"/>
  <c r="D26" i="4"/>
  <c r="D27" i="4" s="1"/>
  <c r="E17" i="4"/>
  <c r="E18" i="4" l="1"/>
  <c r="D29" i="4"/>
  <c r="D28" i="4"/>
  <c r="D30" i="4"/>
  <c r="D32" i="4" s="1"/>
  <c r="D33" i="4" l="1"/>
  <c r="D34" i="4"/>
  <c r="D35" i="4"/>
  <c r="D31" i="4"/>
  <c r="E24" i="4" s="1"/>
  <c r="D36" i="4"/>
  <c r="E21" i="4"/>
  <c r="E19" i="4"/>
  <c r="E22" i="4" l="1"/>
  <c r="F13" i="4" s="1"/>
  <c r="F14" i="4" s="1"/>
  <c r="E20" i="4"/>
  <c r="D38" i="4"/>
  <c r="E25" i="4"/>
  <c r="D37" i="4"/>
  <c r="E23" i="4" l="1"/>
  <c r="F15" i="4" s="1"/>
  <c r="F16" i="4" s="1"/>
  <c r="F17" i="4" s="1"/>
  <c r="E26" i="4"/>
  <c r="E27" i="4" s="1"/>
  <c r="F18" i="4" l="1"/>
  <c r="E29" i="4"/>
  <c r="E28" i="4"/>
  <c r="E30" i="4"/>
  <c r="E32" i="4" s="1"/>
  <c r="E33" i="4" l="1"/>
  <c r="E34" i="4"/>
  <c r="E35" i="4"/>
  <c r="E31" i="4"/>
  <c r="F24" i="4" s="1"/>
  <c r="E36" i="4"/>
  <c r="F21" i="4"/>
  <c r="F19" i="4"/>
  <c r="F22" i="4" l="1"/>
  <c r="G13" i="4" s="1"/>
  <c r="G14" i="4" s="1"/>
  <c r="F20" i="4"/>
  <c r="E38" i="4"/>
  <c r="F25" i="4"/>
  <c r="E37" i="4"/>
  <c r="F23" i="4" l="1"/>
  <c r="G15" i="4" s="1"/>
  <c r="G16" i="4" s="1"/>
  <c r="G17" i="4" s="1"/>
  <c r="F26" i="4"/>
  <c r="F27" i="4" s="1"/>
  <c r="G18" i="4" l="1"/>
  <c r="F28" i="4"/>
  <c r="F29" i="4"/>
  <c r="F30" i="4"/>
  <c r="F32" i="4" s="1"/>
  <c r="F34" i="4" l="1"/>
  <c r="F33" i="4"/>
  <c r="F36" i="4"/>
  <c r="F35" i="4"/>
  <c r="F31" i="4"/>
  <c r="G24" i="4" s="1"/>
  <c r="G21" i="4"/>
  <c r="G19" i="4"/>
  <c r="G22" i="4" l="1"/>
  <c r="H13" i="4" s="1"/>
  <c r="H14" i="4" s="1"/>
  <c r="G20" i="4"/>
  <c r="G25" i="4"/>
  <c r="F37" i="4"/>
  <c r="F38" i="4"/>
  <c r="G26" i="4" l="1"/>
  <c r="G27" i="4" s="1"/>
  <c r="G23" i="4"/>
  <c r="H15" i="4" s="1"/>
  <c r="H16" i="4" s="1"/>
  <c r="H17" i="4" s="1"/>
  <c r="H18" i="4" l="1"/>
  <c r="G28" i="4"/>
  <c r="G29" i="4"/>
  <c r="G30" i="4"/>
  <c r="G32" i="4" s="1"/>
  <c r="G34" i="4" l="1"/>
  <c r="G33" i="4"/>
  <c r="G36" i="4"/>
  <c r="G35" i="4"/>
  <c r="G31" i="4"/>
  <c r="H24" i="4" s="1"/>
  <c r="H21" i="4"/>
  <c r="H19" i="4"/>
  <c r="H22" i="4" l="1"/>
  <c r="H20" i="4"/>
  <c r="H25" i="4"/>
  <c r="G37" i="4"/>
  <c r="G38" i="4"/>
  <c r="H23" i="4" l="1"/>
  <c r="H26" i="4"/>
  <c r="H27" i="4" s="1"/>
  <c r="H28" i="4" l="1"/>
  <c r="H29" i="4"/>
  <c r="H30" i="4"/>
  <c r="H32" i="4" s="1"/>
  <c r="H33" i="4" l="1"/>
  <c r="H34" i="4"/>
  <c r="H36" i="4"/>
  <c r="H35" i="4"/>
  <c r="H31" i="4"/>
  <c r="H37" i="4" l="1"/>
  <c r="C41" i="4" s="1"/>
  <c r="E16" i="5" s="1"/>
  <c r="C46" i="4"/>
  <c r="C42" i="4"/>
  <c r="E17" i="5" s="1"/>
  <c r="H38" i="4"/>
  <c r="C43" i="4" s="1"/>
  <c r="G16" i="5" s="1"/>
  <c r="C45" i="4"/>
  <c r="G18" i="5" s="1"/>
  <c r="C44" i="4"/>
  <c r="G17" i="5" s="1"/>
</calcChain>
</file>

<file path=xl/sharedStrings.xml><?xml version="1.0" encoding="utf-8"?>
<sst xmlns="http://schemas.openxmlformats.org/spreadsheetml/2006/main" count="192" uniqueCount="181">
  <si>
    <t>PROJECT MERIDIAN</t>
  </si>
  <si>
    <t>UK Value-Add Multifamily — JV Acquisition &amp; Business Plan</t>
  </si>
  <si>
    <t>120-unit Build-to-Rent · value-add · 5-year hold · LP/GP joint venture with promote · GBP</t>
  </si>
  <si>
    <t>THE DEAL</t>
  </si>
  <si>
    <t>CONTENTS</t>
  </si>
  <si>
    <t>Assumptions</t>
  </si>
  <si>
    <t>Deal inputs (blue)</t>
  </si>
  <si>
    <t>Property Model</t>
  </si>
  <si>
    <t>Operating cash flow, renovation, debt, refinance, exit, property &amp; levered returns</t>
  </si>
  <si>
    <t>JV Waterfall</t>
  </si>
  <si>
    <t>LP/GP distribution waterfall — return of capital, 8% pref, two-tier promote</t>
  </si>
  <si>
    <t>IC Summary</t>
  </si>
  <si>
    <t>Sources &amp; uses, business plan, returns, sensitivity, recommendation</t>
  </si>
  <si>
    <t>THE WATERFALL (how profits are split)</t>
  </si>
  <si>
    <t>1. Return of capital — pro-rata (LP 90% / GP 10%).</t>
  </si>
  <si>
    <t>2. 8% preferred return — pro-rata, until the LP earns an 8% IRR.</t>
  </si>
  <si>
    <t>3. 80/20 (LP/GP) — until the LP reaches a 15% IRR (GP's first promote tier).</t>
  </si>
  <si>
    <t>4. 70/30 (LP/GP) — above a 15% LP IRR (GP's second promote tier).</t>
  </si>
  <si>
    <t>NOTES</t>
  </si>
  <si>
    <t>•</t>
  </si>
  <si>
    <t>Interest is charged on opening balances; annual cash flows. Illustrative UK BTR parameters; no real asset or client data.</t>
  </si>
  <si>
    <t>The waterfall uses accrual (hurdle) accounts for the 8% and 15% IRR hurdles — a standard, transparent method. Not investment advice.</t>
  </si>
  <si>
    <t>PROJECT MERIDIAN   |   Deal Assumptions</t>
  </si>
  <si>
    <t>ASSET &amp; ACQUISITION</t>
  </si>
  <si>
    <t>Number of units</t>
  </si>
  <si>
    <t>Purchase price</t>
  </si>
  <si>
    <t>£183k/unit</t>
  </si>
  <si>
    <t>Acquisition costs (% of price)</t>
  </si>
  <si>
    <t>Renovation cost per unit</t>
  </si>
  <si>
    <t>RENT &amp; OPERATIONS</t>
  </si>
  <si>
    <t>In-place rent (£/unit/month)</t>
  </si>
  <si>
    <t>Renovated rent (£/unit/month)</t>
  </si>
  <si>
    <t>+£250 premium</t>
  </si>
  <si>
    <t>Rental growth (p.a.)</t>
  </si>
  <si>
    <t>Operating expenses (% of EGI)</t>
  </si>
  <si>
    <t>Renovated units (start of year, Yr1-5)</t>
  </si>
  <si>
    <t>Occupancy (Yr1-5)</t>
  </si>
  <si>
    <t>DEBT &amp; REFINANCE</t>
  </si>
  <si>
    <t>Senior loan (% of total cost, LTC)</t>
  </si>
  <si>
    <t>Senior interest rate</t>
  </si>
  <si>
    <t>Refinance year</t>
  </si>
  <si>
    <t>Refi valuation yield (stabilised)</t>
  </si>
  <si>
    <t>Refi loan-to-value</t>
  </si>
  <si>
    <t>Refi interest rate</t>
  </si>
  <si>
    <t>EXIT</t>
  </si>
  <si>
    <t>Exit yield (cap rate)</t>
  </si>
  <si>
    <t>Selling costs (% of value)</t>
  </si>
  <si>
    <t>JV WATERFALL</t>
  </si>
  <si>
    <t>LP share of equity</t>
  </si>
  <si>
    <t>GP share of equity</t>
  </si>
  <si>
    <t>Preferred return (LP IRR hurdle 1)</t>
  </si>
  <si>
    <t>Second hurdle (LP IRR)</t>
  </si>
  <si>
    <t>GP promote — tier 1 (pref to hurdle 2)</t>
  </si>
  <si>
    <t>80/20 LP/GP</t>
  </si>
  <si>
    <t>GP promote — tier 2 (above hurdle 2)</t>
  </si>
  <si>
    <t>70/30 LP/GP</t>
  </si>
  <si>
    <t>PROJECT MERIDIAN   |   Property Cash Flow, Debt &amp; Returns</t>
  </si>
  <si>
    <t>GBP. Blue=input · black=formula · green=link. Renovation phased Yr1-2; refinance end Yr3; exit Yr5.</t>
  </si>
  <si>
    <t>Year 0</t>
  </si>
  <si>
    <t>Year 1</t>
  </si>
  <si>
    <t>Year 2</t>
  </si>
  <si>
    <t>Year 3</t>
  </si>
  <si>
    <t>Year 4</t>
  </si>
  <si>
    <t>Year 5</t>
  </si>
  <si>
    <t>Year 6</t>
  </si>
  <si>
    <t>OPERATING CASH FLOW</t>
  </si>
  <si>
    <t>In-place rent (£/unit/mo)</t>
  </si>
  <si>
    <t>Renovated rent (£/unit/mo)</t>
  </si>
  <si>
    <t>Renovated units (start of yr)</t>
  </si>
  <si>
    <t>Un-renovated units</t>
  </si>
  <si>
    <t>Gross potential rent</t>
  </si>
  <si>
    <t>Occupancy</t>
  </si>
  <si>
    <t>Effective gross income</t>
  </si>
  <si>
    <t>Operating expenses</t>
  </si>
  <si>
    <t>Net operating income</t>
  </si>
  <si>
    <t>Renovation capex</t>
  </si>
  <si>
    <t>ACQUISITION &amp; DEBT</t>
  </si>
  <si>
    <t>Total acquisition cost (price + costs)</t>
  </si>
  <si>
    <t>Total project cost (incl. renovation)</t>
  </si>
  <si>
    <t>Senior loan drawn (60% LTC)</t>
  </si>
  <si>
    <t>Equity required</t>
  </si>
  <si>
    <t>Senior interest (Yr1-3)</t>
  </si>
  <si>
    <t>Refinance (end Yr3)</t>
  </si>
  <si>
    <t xml:space="preserve">  Stabilised value (Yr4 NOI / refi yield)</t>
  </si>
  <si>
    <t xml:space="preserve">  New loan (65% LTV)</t>
  </si>
  <si>
    <t xml:space="preserve">  Refi proceeds (new - old)</t>
  </si>
  <si>
    <t>New loan interest (Yr4-5)</t>
  </si>
  <si>
    <t>EXIT (Year 5)</t>
  </si>
  <si>
    <t>Exit value (Yr6 NOI / exit yield)</t>
  </si>
  <si>
    <t>Less: selling costs</t>
  </si>
  <si>
    <t>Net sale proceeds (property)</t>
  </si>
  <si>
    <t>Less: repay refinance loan</t>
  </si>
  <si>
    <t>Net sale proceeds to equity</t>
  </si>
  <si>
    <t>RETURNS</t>
  </si>
  <si>
    <t>Unlevered cash flow (property)</t>
  </si>
  <si>
    <t>Levered cash flow (equity)</t>
  </si>
  <si>
    <t>Unlevered IRR</t>
  </si>
  <si>
    <t>Unlevered equity multiple</t>
  </si>
  <si>
    <t>Levered project IRR</t>
  </si>
  <si>
    <t>Levered equity multiple</t>
  </si>
  <si>
    <t>Entry yield (Yr1 NOI / price)</t>
  </si>
  <si>
    <t>Stabilised yield on cost (Yr3 NOI / cost)</t>
  </si>
  <si>
    <t>PROJECT MERIDIAN   |   JV Distribution Waterfall</t>
  </si>
  <si>
    <t>LP 90% / GP 10%. Tiers: return of capital + 8% pref (pro-rata); 80/20 to 15% LP IRR; 70/30 above. Accrual-account method.</t>
  </si>
  <si>
    <t>EQUITY CASH FLOW</t>
  </si>
  <si>
    <t>Total equity cash flow</t>
  </si>
  <si>
    <t>LP contribution</t>
  </si>
  <si>
    <t>GP contribution</t>
  </si>
  <si>
    <t>Distributable cash</t>
  </si>
  <si>
    <t>WATERFALL ALLOCATION</t>
  </si>
  <si>
    <t>LP cap+pref — opening</t>
  </si>
  <si>
    <t>LP cap+pref — bal (accr 8% + contrib)</t>
  </si>
  <si>
    <t>GP cap+pref — opening</t>
  </si>
  <si>
    <t>GP cap+pref — bal (accr 8% + contrib)</t>
  </si>
  <si>
    <t>Tier 1 need (LP+GP bal)</t>
  </si>
  <si>
    <t>Tier 1 paid (min cash, need)</t>
  </si>
  <si>
    <t xml:space="preserve">  Tier 1 to LP</t>
  </si>
  <si>
    <t xml:space="preserve">  Tier 1 to GP</t>
  </si>
  <si>
    <t>Cash after Tier 1</t>
  </si>
  <si>
    <t>LP cap+pref — closing</t>
  </si>
  <si>
    <t>GP cap+pref — closing</t>
  </si>
  <si>
    <t>LP 15% acct — opening</t>
  </si>
  <si>
    <t>LP 15% acct — bal (accr 15% + contrib - T1 LP)</t>
  </si>
  <si>
    <t>Tier 2 need (bal / 80%)</t>
  </si>
  <si>
    <t>Tier 2 paid (min, need)</t>
  </si>
  <si>
    <t xml:space="preserve">  Tier 2 to LP (80%)</t>
  </si>
  <si>
    <t xml:space="preserve">  Tier 2 to GP (20%)</t>
  </si>
  <si>
    <t>Cash after Tier 2</t>
  </si>
  <si>
    <t>LP 15% acct — closing</t>
  </si>
  <si>
    <t>Tier 3 paid (remainder)</t>
  </si>
  <si>
    <t xml:space="preserve">  Tier 3 to LP (70%)</t>
  </si>
  <si>
    <t xml:space="preserve">  Tier 3 to GP (30%)</t>
  </si>
  <si>
    <t>LP distribution (total)</t>
  </si>
  <si>
    <t>GP distribution (total)</t>
  </si>
  <si>
    <t>LP net cash flow</t>
  </si>
  <si>
    <t>GP net cash flow</t>
  </si>
  <si>
    <t>PARTNER RETURNS</t>
  </si>
  <si>
    <t>LP IRR</t>
  </si>
  <si>
    <t>LP equity multiple</t>
  </si>
  <si>
    <t>GP IRR</t>
  </si>
  <si>
    <t>GP equity multiple</t>
  </si>
  <si>
    <t>GP promote (dist above 10% pro-rata)</t>
  </si>
  <si>
    <t>Check: LP+GP dist = total dist</t>
  </si>
  <si>
    <t>PROJECT MERIDIAN   |   Investment Committee Summary</t>
  </si>
  <si>
    <t>Strictly Confidential</t>
  </si>
  <si>
    <t>120-unit value-add multifamily (BTR) · UK regional city · 5-year hold · JV with promote   (illustrative work sample)</t>
  </si>
  <si>
    <t>Recommendation: proceed — buy at £22.0m, renovate to institutional BTR, refinance Yr3, exit Yr5.</t>
  </si>
  <si>
    <t>SOURCES &amp; USES</t>
  </si>
  <si>
    <t>BUSINESS PLAN</t>
  </si>
  <si>
    <t>Units / price per unit</t>
  </si>
  <si>
    <t>120 / £183k</t>
  </si>
  <si>
    <t>Acquisition costs</t>
  </si>
  <si>
    <t>In-place → renovated rent</t>
  </si>
  <si>
    <t>£1,150 → £1,400/mo</t>
  </si>
  <si>
    <t>Renovation</t>
  </si>
  <si>
    <t>£22k/unit, phased over 24 mo</t>
  </si>
  <si>
    <t>Total project cost</t>
  </si>
  <si>
    <t>90% → 95% stabilised</t>
  </si>
  <si>
    <t>Senior debt (60% LTC)</t>
  </si>
  <si>
    <t>Refinance</t>
  </si>
  <si>
    <t>Yr3 at 4.75% yield, 65% LTV</t>
  </si>
  <si>
    <t>Equity</t>
  </si>
  <si>
    <t>Exit</t>
  </si>
  <si>
    <t>Yr5 at 4.50% cap rate</t>
  </si>
  <si>
    <t>Property</t>
  </si>
  <si>
    <t>LP (90%)</t>
  </si>
  <si>
    <t>GP (10%)</t>
  </si>
  <si>
    <t>IRR</t>
  </si>
  <si>
    <t>Equity multiple</t>
  </si>
  <si>
    <t>Unlevered IRR / GP promote (£)</t>
  </si>
  <si>
    <t>SENSITIVITY — levered project IRR vs exit yield</t>
  </si>
  <si>
    <t>Exit yield</t>
  </si>
  <si>
    <t>Levered IRR</t>
  </si>
  <si>
    <t>RECOMMENDATION &amp; RISKS</t>
  </si>
  <si>
    <t>(sensitivity working)</t>
  </si>
  <si>
    <t>A sponsor acquires a 120-unit UK residential block at £22.0m, under-rented and tired. Over a five-year hold the plan is to renovate all units to a £250/month rent premium, lift occupancy to 95%, refinance in Year 3 to return capital, and exit on a compressed yield. It is funded by a JV: an institutional LP (90%) and the sponsor GP (10%), with profits split through a two-tier promote over an 8% preferred return. This model runs the property cash flow, the debt and refinance, and the full distribution waterfall, and states an IC recommendation.</t>
  </si>
  <si>
    <t>UK value-add multifamily (BTR). Blue = input. GBP.</t>
  </si>
  <si>
    <t>1. Base case delivers a project IRR of ~18% (2.0x), an LP IRR of ~17% (1.9x) and a GP IRR of ~28% (2.8x) — a compelling value-add that clears the 8% preferred and the 15% second hurdle, activating the full two-tier promote.</t>
  </si>
  <si>
    <t>2. Value is created by renovating to a £250/month rent premium and re-rating the asset; a Year-3 refinance returns ~£4.6m of capital to investors, de-risking the equity ahead of exit.</t>
  </si>
  <si>
    <t>3. Key risks: exit-yield movement (the return is most sensitive to the exit cap rate — see table), renovation cost / timing overrun, and slower lease-up. A +25bps exit yield still leaves the deal comfortably above hurdle.</t>
  </si>
  <si>
    <t>4. Recommendation: approve the acquisition at £22.0m and the JV terms as structured.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</si>
</sst>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;\-"/>
    <numFmt numFmtId="165" formatCode="\£#,##0;&quot;(£&quot;#,##0\);\-"/>
    <numFmt numFmtId="166" formatCode="0.0%;\(0.0%\);\-"/>
    <numFmt numFmtId="167" formatCode="0.00\x"/>
  </numFmts>
  <fonts count="23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7"/>
      <color rgb="FF132E57"/>
      <name val="Arial"/>
      <charset val="1"/>
    </font>
    <font>
      <b/>
      <sz val="10"/>
      <color rgb="FFC00000"/>
      <name val="Arial"/>
      <charset val="1"/>
    </font>
    <font>
      <i/>
      <sz val="10"/>
      <color rgb="FF404040"/>
      <name val="Arial"/>
      <charset val="1"/>
    </font>
    <font>
      <b/>
      <sz val="10"/>
      <color rgb="FFFFFFFF"/>
      <name val="Arial"/>
      <charset val="1"/>
    </font>
    <font>
      <sz val="9"/>
      <color rgb="FF404040"/>
      <name val="Arial"/>
      <charset val="1"/>
    </font>
    <font>
      <b/>
      <sz val="10"/>
      <color rgb="FF222222"/>
      <name val="Arial"/>
      <charset val="1"/>
    </font>
    <font>
      <sz val="9"/>
      <color rgb="FF222222"/>
      <name val="Arial"/>
      <charset val="1"/>
    </font>
    <font>
      <i/>
      <sz val="8"/>
      <color rgb="FF808080"/>
      <name val="Arial"/>
      <charset val="1"/>
    </font>
    <font>
      <sz val="10"/>
      <color rgb="FF222222"/>
      <name val="Arial"/>
      <charset val="1"/>
    </font>
    <font>
      <sz val="10"/>
      <color rgb="FF0000CC"/>
      <name val="Arial"/>
      <charset val="1"/>
    </font>
    <font>
      <sz val="10"/>
      <color rgb="FF008000"/>
      <name val="Arial"/>
      <charset val="1"/>
    </font>
    <font>
      <b/>
      <sz val="10"/>
      <color rgb="FF132E57"/>
      <name val="Arial"/>
      <charset val="1"/>
    </font>
    <font>
      <i/>
      <sz val="9"/>
      <color rgb="FFFFFFFF"/>
      <name val="Arial"/>
      <charset val="1"/>
    </font>
    <font>
      <b/>
      <sz val="9"/>
      <color rgb="FF222222"/>
      <name val="Arial"/>
      <charset val="1"/>
    </font>
    <font>
      <b/>
      <sz val="10"/>
      <color rgb="FF008000"/>
      <name val="Arial"/>
      <charset val="1"/>
    </font>
    <font>
      <i/>
      <sz val="7"/>
      <color rgb="FFCCCCCC"/>
      <name val="Arial"/>
      <charset val="1"/>
    </font>
    <font>
      <sz val="7"/>
      <color rgb="FFCCCCCC"/>
      <name val="Arial"/>
      <charset val="1"/>
    </font>
    <font>
      <sz val="9"/>
      <color rgb="FF404040"/>
      <name val="Arial"/>
      <family val="2"/>
    </font>
    <font>
      <i/>
      <sz val="8"/>
      <color theme="1"/>
      <name val="Arial"/>
      <family val="2"/>
    </font>
    <font>
      <i/>
      <sz val="9"/>
      <color rgb="FF404040"/>
      <name val="Arial"/>
      <family val="2"/>
    </font>
    <font>
      <sz val="9"/>
      <color rgb="FF22222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32E57"/>
        <bgColor rgb="FF222222"/>
      </patternFill>
    </fill>
    <fill>
      <patternFill patternType="solid">
        <fgColor rgb="FFED942D"/>
        <bgColor rgb="FFFF8080"/>
      </patternFill>
    </fill>
    <fill>
      <patternFill patternType="solid">
        <fgColor rgb="FFEAEAF8"/>
        <bgColor rgb="FFD9E1F2"/>
      </patternFill>
    </fill>
    <fill>
      <patternFill patternType="solid">
        <fgColor rgb="FFFFF2CC"/>
        <bgColor rgb="FFEAEAF8"/>
      </patternFill>
    </fill>
    <fill>
      <patternFill patternType="solid">
        <fgColor rgb="FFD9E1F2"/>
        <bgColor rgb="FFEAEAF8"/>
      </patternFill>
    </fill>
  </fills>
  <borders count="3">
    <border>
      <left/>
      <right/>
      <top/>
      <bottom/>
      <diagonal/>
    </border>
    <border>
      <left/>
      <right/>
      <top style="thin">
        <color rgb="FF222222"/>
      </top>
      <bottom/>
      <diagonal/>
    </border>
    <border>
      <left/>
      <right/>
      <top style="thin">
        <color rgb="FFBFBFBF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8" fillId="0" borderId="0" xfId="0" applyFont="1"/>
    <xf numFmtId="0" fontId="6" fillId="0" borderId="0" xfId="0" applyFont="1"/>
    <xf numFmtId="0" fontId="0" fillId="2" borderId="0" xfId="0" applyFill="1"/>
    <xf numFmtId="0" fontId="1" fillId="2" borderId="0" xfId="0" applyFont="1" applyFill="1"/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horizontal="right"/>
    </xf>
    <xf numFmtId="0" fontId="4" fillId="0" borderId="0" xfId="0" applyFont="1"/>
    <xf numFmtId="0" fontId="5" fillId="2" borderId="0" xfId="0" applyFont="1" applyFill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164" fontId="11" fillId="4" borderId="0" xfId="0" applyNumberFormat="1" applyFont="1" applyFill="1"/>
    <xf numFmtId="165" fontId="11" fillId="4" borderId="0" xfId="0" applyNumberFormat="1" applyFont="1" applyFill="1"/>
    <xf numFmtId="166" fontId="11" fillId="4" borderId="0" xfId="0" applyNumberFormat="1" applyFont="1" applyFill="1"/>
    <xf numFmtId="0" fontId="5" fillId="2" borderId="0" xfId="0" applyFont="1" applyFill="1" applyAlignment="1">
      <alignment horizontal="right"/>
    </xf>
    <xf numFmtId="165" fontId="12" fillId="0" borderId="0" xfId="0" applyNumberFormat="1" applyFont="1"/>
    <xf numFmtId="165" fontId="10" fillId="0" borderId="0" xfId="0" applyNumberFormat="1" applyFont="1"/>
    <xf numFmtId="164" fontId="12" fillId="0" borderId="0" xfId="0" applyNumberFormat="1" applyFont="1"/>
    <xf numFmtId="164" fontId="10" fillId="0" borderId="0" xfId="0" applyNumberFormat="1" applyFont="1"/>
    <xf numFmtId="166" fontId="12" fillId="0" borderId="0" xfId="0" applyNumberFormat="1" applyFont="1"/>
    <xf numFmtId="165" fontId="7" fillId="0" borderId="0" xfId="0" applyNumberFormat="1" applyFont="1"/>
    <xf numFmtId="165" fontId="7" fillId="0" borderId="1" xfId="0" applyNumberFormat="1" applyFont="1" applyBorder="1"/>
    <xf numFmtId="0" fontId="13" fillId="0" borderId="0" xfId="0" applyFont="1"/>
    <xf numFmtId="165" fontId="10" fillId="0" borderId="2" xfId="0" applyNumberFormat="1" applyFont="1" applyBorder="1"/>
    <xf numFmtId="166" fontId="7" fillId="0" borderId="0" xfId="0" applyNumberFormat="1" applyFont="1"/>
    <xf numFmtId="167" fontId="10" fillId="0" borderId="0" xfId="0" applyNumberFormat="1" applyFont="1"/>
    <xf numFmtId="166" fontId="7" fillId="5" borderId="0" xfId="0" applyNumberFormat="1" applyFont="1" applyFill="1"/>
    <xf numFmtId="166" fontId="10" fillId="0" borderId="0" xfId="0" applyNumberFormat="1" applyFont="1"/>
    <xf numFmtId="165" fontId="7" fillId="0" borderId="2" xfId="0" applyNumberFormat="1" applyFont="1" applyBorder="1"/>
    <xf numFmtId="0" fontId="14" fillId="2" borderId="0" xfId="0" applyFont="1" applyFill="1" applyAlignment="1">
      <alignment horizontal="right"/>
    </xf>
    <xf numFmtId="165" fontId="12" fillId="0" borderId="0" xfId="0" applyNumberFormat="1" applyFont="1" applyAlignment="1">
      <alignment horizontal="right"/>
    </xf>
    <xf numFmtId="0" fontId="15" fillId="0" borderId="0" xfId="0" applyFont="1" applyAlignment="1">
      <alignment horizontal="right"/>
    </xf>
    <xf numFmtId="165" fontId="16" fillId="0" borderId="0" xfId="0" applyNumberFormat="1" applyFont="1" applyAlignment="1">
      <alignment horizontal="right"/>
    </xf>
    <xf numFmtId="0" fontId="15" fillId="0" borderId="0" xfId="0" applyFont="1"/>
    <xf numFmtId="0" fontId="7" fillId="6" borderId="0" xfId="0" applyFont="1" applyFill="1" applyAlignment="1">
      <alignment horizontal="right"/>
    </xf>
    <xf numFmtId="166" fontId="16" fillId="0" borderId="0" xfId="0" applyNumberFormat="1" applyFont="1" applyAlignment="1">
      <alignment horizontal="right"/>
    </xf>
    <xf numFmtId="167" fontId="12" fillId="0" borderId="0" xfId="0" applyNumberFormat="1" applyFont="1" applyAlignment="1">
      <alignment horizontal="right"/>
    </xf>
    <xf numFmtId="166" fontId="12" fillId="0" borderId="0" xfId="0" applyNumberFormat="1" applyFont="1" applyAlignment="1">
      <alignment horizontal="right"/>
    </xf>
    <xf numFmtId="166" fontId="7" fillId="6" borderId="0" xfId="0" applyNumberFormat="1" applyFont="1" applyFill="1" applyAlignment="1">
      <alignment horizontal="right"/>
    </xf>
    <xf numFmtId="166" fontId="7" fillId="5" borderId="0" xfId="0" applyNumberFormat="1" applyFont="1" applyFill="1" applyAlignment="1">
      <alignment horizontal="right"/>
    </xf>
    <xf numFmtId="166" fontId="10" fillId="0" borderId="0" xfId="0" applyNumberFormat="1" applyFont="1" applyAlignment="1">
      <alignment horizontal="right"/>
    </xf>
    <xf numFmtId="166" fontId="10" fillId="5" borderId="0" xfId="0" applyNumberFormat="1" applyFont="1" applyFill="1" applyAlignment="1">
      <alignment horizontal="right"/>
    </xf>
    <xf numFmtId="0" fontId="17" fillId="0" borderId="0" xfId="0" applyFont="1"/>
    <xf numFmtId="165" fontId="18" fillId="0" borderId="0" xfId="0" applyNumberFormat="1" applyFont="1"/>
    <xf numFmtId="0" fontId="6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20" fillId="0" borderId="0" xfId="0" applyFont="1"/>
    <xf numFmtId="0" fontId="9" fillId="0" borderId="0" xfId="0" applyFont="1" applyAlignment="1">
      <alignment horizontal="left"/>
    </xf>
    <xf numFmtId="0" fontId="10" fillId="0" borderId="0" xfId="0" applyNumberFormat="1" applyFont="1" applyAlignment="1">
      <alignment horizontal="right"/>
    </xf>
    <xf numFmtId="0" fontId="21" fillId="0" borderId="0" xfId="0" applyFont="1"/>
    <xf numFmtId="0" fontId="22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/>
    </xf>
  </cellXfs>
  <cellStyles count="1">
    <cellStyle name="Normal" xfId="0" builtinId="0"/>
  </cellStyles>
  <dxfs count="1"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CC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AEAF8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D942D"/>
      <rgbColor rgb="FFFF6600"/>
      <rgbColor rgb="FF666699"/>
      <rgbColor rgb="FF969696"/>
      <rgbColor rgb="FF132E57"/>
      <rgbColor rgb="FF339966"/>
      <rgbColor rgb="FF003300"/>
      <rgbColor rgb="FF222222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27"/>
  <sheetViews>
    <sheetView showGridLines="0" topLeftCell="A5" zoomScale="150" zoomScaleNormal="100" workbookViewId="0">
      <selection activeCell="C7" sqref="C7:N11"/>
    </sheetView>
  </sheetViews>
  <sheetFormatPr baseColWidth="10" defaultColWidth="8.6640625" defaultRowHeight="15" x14ac:dyDescent="0.2"/>
  <cols>
    <col min="1" max="1" width="2" customWidth="1"/>
    <col min="2" max="2" width="4" customWidth="1"/>
    <col min="3" max="3" width="16" customWidth="1"/>
    <col min="4" max="4" width="2" customWidth="1"/>
    <col min="5" max="14" width="10" customWidth="1"/>
  </cols>
  <sheetData>
    <row r="1" spans="1:14" ht="21.75" customHeight="1" x14ac:dyDescent="0.2">
      <c r="A1" s="3"/>
      <c r="B1" s="4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3" spans="1:14" ht="22" x14ac:dyDescent="0.25">
      <c r="B3" s="6" t="s">
        <v>1</v>
      </c>
      <c r="L3" s="7"/>
    </row>
    <row r="4" spans="1:14" x14ac:dyDescent="0.2">
      <c r="B4" s="8" t="s">
        <v>2</v>
      </c>
    </row>
    <row r="6" spans="1:14" x14ac:dyDescent="0.2">
      <c r="B6" s="9" t="s">
        <v>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">
      <c r="C7" s="48" t="s">
        <v>175</v>
      </c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</row>
    <row r="8" spans="1:14" x14ac:dyDescent="0.2"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</row>
    <row r="9" spans="1:14" x14ac:dyDescent="0.2"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</row>
    <row r="10" spans="1:14" x14ac:dyDescent="0.2"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</row>
    <row r="11" spans="1:14" x14ac:dyDescent="0.2"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</row>
    <row r="13" spans="1:14" x14ac:dyDescent="0.2">
      <c r="B13" s="9" t="s">
        <v>4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14" x14ac:dyDescent="0.2">
      <c r="B14" s="10">
        <v>1</v>
      </c>
      <c r="C14" s="10" t="s">
        <v>5</v>
      </c>
      <c r="E14" s="2" t="s">
        <v>6</v>
      </c>
      <c r="F14" s="2"/>
      <c r="G14" s="2"/>
      <c r="H14" s="2"/>
      <c r="I14" s="2"/>
      <c r="J14" s="2"/>
      <c r="K14" s="2"/>
      <c r="L14" s="2"/>
      <c r="M14" s="2"/>
      <c r="N14" s="2"/>
    </row>
    <row r="15" spans="1:14" x14ac:dyDescent="0.2">
      <c r="B15" s="10">
        <v>2</v>
      </c>
      <c r="C15" s="10" t="s">
        <v>7</v>
      </c>
      <c r="E15" s="2" t="s">
        <v>8</v>
      </c>
      <c r="F15" s="2"/>
      <c r="G15" s="2"/>
      <c r="H15" s="2"/>
      <c r="I15" s="2"/>
      <c r="J15" s="2"/>
      <c r="K15" s="2"/>
      <c r="L15" s="2"/>
      <c r="M15" s="2"/>
      <c r="N15" s="2"/>
    </row>
    <row r="16" spans="1:14" x14ac:dyDescent="0.2">
      <c r="B16" s="10">
        <v>3</v>
      </c>
      <c r="C16" s="10" t="s">
        <v>9</v>
      </c>
      <c r="E16" s="2" t="s">
        <v>10</v>
      </c>
      <c r="F16" s="2"/>
      <c r="G16" s="2"/>
      <c r="H16" s="2"/>
      <c r="I16" s="2"/>
      <c r="J16" s="2"/>
      <c r="K16" s="2"/>
      <c r="L16" s="2"/>
      <c r="M16" s="2"/>
      <c r="N16" s="2"/>
    </row>
    <row r="17" spans="2:14" x14ac:dyDescent="0.2">
      <c r="B17" s="10">
        <v>4</v>
      </c>
      <c r="C17" s="10" t="s">
        <v>11</v>
      </c>
      <c r="E17" s="2" t="s">
        <v>12</v>
      </c>
      <c r="F17" s="2"/>
      <c r="G17" s="2"/>
      <c r="H17" s="2"/>
      <c r="I17" s="2"/>
      <c r="J17" s="2"/>
      <c r="K17" s="2"/>
      <c r="L17" s="2"/>
      <c r="M17" s="2"/>
      <c r="N17" s="2"/>
    </row>
    <row r="19" spans="2:14" x14ac:dyDescent="0.2">
      <c r="B19" s="9" t="s">
        <v>13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2:14" x14ac:dyDescent="0.2">
      <c r="C20" s="1" t="s">
        <v>14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2:14" x14ac:dyDescent="0.2">
      <c r="C21" s="1" t="s">
        <v>15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2:14" x14ac:dyDescent="0.2">
      <c r="C22" s="1" t="s">
        <v>16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2:14" x14ac:dyDescent="0.2">
      <c r="C23" s="1" t="s">
        <v>17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5" spans="2:14" x14ac:dyDescent="0.2">
      <c r="B25" s="9" t="s">
        <v>18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2:14" x14ac:dyDescent="0.2">
      <c r="B26" s="10" t="s">
        <v>19</v>
      </c>
      <c r="C26" s="1" t="s">
        <v>20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2:14" x14ac:dyDescent="0.2">
      <c r="B27" s="10" t="s">
        <v>19</v>
      </c>
      <c r="C27" s="1" t="s">
        <v>21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</sheetData>
  <mergeCells count="11">
    <mergeCell ref="C27:N27"/>
    <mergeCell ref="C20:N20"/>
    <mergeCell ref="C21:N21"/>
    <mergeCell ref="C22:N22"/>
    <mergeCell ref="C23:N23"/>
    <mergeCell ref="C26:N26"/>
    <mergeCell ref="C7:N11"/>
    <mergeCell ref="E14:N14"/>
    <mergeCell ref="E15:N15"/>
    <mergeCell ref="E16:N16"/>
    <mergeCell ref="E17:N17"/>
  </mergeCells>
  <pageMargins left="0.3" right="0.3" top="0.4" bottom="0.4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37"/>
  <sheetViews>
    <sheetView showGridLines="0" topLeftCell="A17" zoomScale="158" zoomScaleNormal="100" workbookViewId="0">
      <selection activeCell="E30" sqref="E30"/>
    </sheetView>
  </sheetViews>
  <sheetFormatPr baseColWidth="10" defaultColWidth="8.6640625" defaultRowHeight="15" x14ac:dyDescent="0.2"/>
  <cols>
    <col min="1" max="1" width="2" customWidth="1"/>
    <col min="2" max="2" width="40" customWidth="1"/>
    <col min="3" max="4" width="14" customWidth="1"/>
  </cols>
  <sheetData>
    <row r="1" spans="1:9" ht="21.75" customHeight="1" x14ac:dyDescent="0.2">
      <c r="A1" s="3"/>
      <c r="B1" s="4" t="s">
        <v>22</v>
      </c>
      <c r="C1" s="3"/>
      <c r="D1" s="3"/>
      <c r="E1" s="3"/>
      <c r="F1" s="3"/>
      <c r="G1" s="3"/>
      <c r="H1" s="3"/>
      <c r="I1" s="3"/>
    </row>
    <row r="3" spans="1:9" x14ac:dyDescent="0.2">
      <c r="B3" s="49" t="s">
        <v>176</v>
      </c>
    </row>
    <row r="4" spans="1:9" x14ac:dyDescent="0.2">
      <c r="B4" s="9" t="s">
        <v>23</v>
      </c>
      <c r="C4" s="3"/>
      <c r="D4" s="3"/>
    </row>
    <row r="5" spans="1:9" x14ac:dyDescent="0.2">
      <c r="B5" s="13" t="s">
        <v>24</v>
      </c>
      <c r="C5" s="14">
        <v>120</v>
      </c>
    </row>
    <row r="6" spans="1:9" x14ac:dyDescent="0.2">
      <c r="B6" s="13" t="s">
        <v>25</v>
      </c>
      <c r="C6" s="15">
        <v>22000000</v>
      </c>
      <c r="D6" s="50" t="s">
        <v>26</v>
      </c>
    </row>
    <row r="7" spans="1:9" x14ac:dyDescent="0.2">
      <c r="B7" s="13" t="s">
        <v>27</v>
      </c>
      <c r="C7" s="16">
        <v>0.05</v>
      </c>
    </row>
    <row r="8" spans="1:9" x14ac:dyDescent="0.2">
      <c r="B8" s="13" t="s">
        <v>28</v>
      </c>
      <c r="C8" s="15">
        <v>22000</v>
      </c>
    </row>
    <row r="10" spans="1:9" x14ac:dyDescent="0.2">
      <c r="B10" s="9" t="s">
        <v>29</v>
      </c>
      <c r="C10" s="3"/>
      <c r="D10" s="3"/>
    </row>
    <row r="11" spans="1:9" x14ac:dyDescent="0.2">
      <c r="B11" s="13" t="s">
        <v>30</v>
      </c>
      <c r="C11" s="15">
        <v>1150</v>
      </c>
    </row>
    <row r="12" spans="1:9" x14ac:dyDescent="0.2">
      <c r="B12" s="13" t="s">
        <v>31</v>
      </c>
      <c r="C12" s="15">
        <v>1400</v>
      </c>
      <c r="D12" s="12" t="s">
        <v>32</v>
      </c>
    </row>
    <row r="13" spans="1:9" x14ac:dyDescent="0.2">
      <c r="B13" s="13" t="s">
        <v>33</v>
      </c>
      <c r="C13" s="16">
        <v>0.03</v>
      </c>
    </row>
    <row r="14" spans="1:9" x14ac:dyDescent="0.2">
      <c r="B14" s="13" t="s">
        <v>34</v>
      </c>
      <c r="C14" s="16">
        <v>0.3</v>
      </c>
    </row>
    <row r="16" spans="1:9" x14ac:dyDescent="0.2">
      <c r="B16" s="13" t="s">
        <v>35</v>
      </c>
      <c r="D16" s="14">
        <v>0</v>
      </c>
      <c r="E16" s="14">
        <v>60</v>
      </c>
      <c r="F16" s="14">
        <v>120</v>
      </c>
      <c r="G16" s="14">
        <v>120</v>
      </c>
      <c r="H16" s="14">
        <v>120</v>
      </c>
    </row>
    <row r="17" spans="2:8" x14ac:dyDescent="0.2">
      <c r="B17" s="13" t="s">
        <v>36</v>
      </c>
      <c r="D17" s="16">
        <v>0.9</v>
      </c>
      <c r="E17" s="16">
        <v>0.92</v>
      </c>
      <c r="F17" s="16">
        <v>0.95</v>
      </c>
      <c r="G17" s="16">
        <v>0.95</v>
      </c>
      <c r="H17" s="16">
        <v>0.95</v>
      </c>
    </row>
    <row r="19" spans="2:8" x14ac:dyDescent="0.2">
      <c r="B19" s="9" t="s">
        <v>37</v>
      </c>
      <c r="C19" s="3"/>
      <c r="D19" s="3"/>
    </row>
    <row r="20" spans="2:8" x14ac:dyDescent="0.2">
      <c r="B20" s="13" t="s">
        <v>38</v>
      </c>
      <c r="C20" s="16">
        <v>0.6</v>
      </c>
    </row>
    <row r="21" spans="2:8" x14ac:dyDescent="0.2">
      <c r="B21" s="13" t="s">
        <v>39</v>
      </c>
      <c r="C21" s="16">
        <v>0.06</v>
      </c>
    </row>
    <row r="22" spans="2:8" x14ac:dyDescent="0.2">
      <c r="B22" s="13" t="s">
        <v>40</v>
      </c>
      <c r="C22" s="14">
        <v>3</v>
      </c>
    </row>
    <row r="23" spans="2:8" x14ac:dyDescent="0.2">
      <c r="B23" s="13" t="s">
        <v>41</v>
      </c>
      <c r="C23" s="16">
        <v>4.7500000000000001E-2</v>
      </c>
    </row>
    <row r="24" spans="2:8" x14ac:dyDescent="0.2">
      <c r="B24" s="13" t="s">
        <v>42</v>
      </c>
      <c r="C24" s="16">
        <v>0.65</v>
      </c>
    </row>
    <row r="25" spans="2:8" x14ac:dyDescent="0.2">
      <c r="B25" s="13" t="s">
        <v>43</v>
      </c>
      <c r="C25" s="16">
        <v>5.7500000000000002E-2</v>
      </c>
    </row>
    <row r="27" spans="2:8" x14ac:dyDescent="0.2">
      <c r="B27" s="9" t="s">
        <v>44</v>
      </c>
      <c r="C27" s="3"/>
      <c r="D27" s="3"/>
    </row>
    <row r="28" spans="2:8" x14ac:dyDescent="0.2">
      <c r="B28" s="13" t="s">
        <v>45</v>
      </c>
      <c r="C28" s="16">
        <v>4.4999999999999998E-2</v>
      </c>
    </row>
    <row r="29" spans="2:8" x14ac:dyDescent="0.2">
      <c r="B29" s="13" t="s">
        <v>46</v>
      </c>
      <c r="C29" s="16">
        <v>1.4999999999999999E-2</v>
      </c>
    </row>
    <row r="31" spans="2:8" x14ac:dyDescent="0.2">
      <c r="B31" s="9" t="s">
        <v>47</v>
      </c>
      <c r="C31" s="3"/>
      <c r="D31" s="3"/>
    </row>
    <row r="32" spans="2:8" x14ac:dyDescent="0.2">
      <c r="B32" s="13" t="s">
        <v>48</v>
      </c>
      <c r="C32" s="16">
        <v>0.9</v>
      </c>
    </row>
    <row r="33" spans="2:4" x14ac:dyDescent="0.2">
      <c r="B33" s="13" t="s">
        <v>49</v>
      </c>
      <c r="C33" s="16">
        <v>0.1</v>
      </c>
    </row>
    <row r="34" spans="2:4" x14ac:dyDescent="0.2">
      <c r="B34" s="13" t="s">
        <v>50</v>
      </c>
      <c r="C34" s="16">
        <v>0.08</v>
      </c>
    </row>
    <row r="35" spans="2:4" x14ac:dyDescent="0.2">
      <c r="B35" s="13" t="s">
        <v>51</v>
      </c>
      <c r="C35" s="16">
        <v>0.15</v>
      </c>
    </row>
    <row r="36" spans="2:4" x14ac:dyDescent="0.2">
      <c r="B36" s="13" t="s">
        <v>52</v>
      </c>
      <c r="C36" s="16">
        <v>0.2</v>
      </c>
      <c r="D36" s="12" t="s">
        <v>53</v>
      </c>
    </row>
    <row r="37" spans="2:4" x14ac:dyDescent="0.2">
      <c r="B37" s="13" t="s">
        <v>54</v>
      </c>
      <c r="C37" s="16">
        <v>0.3</v>
      </c>
      <c r="D37" s="12" t="s">
        <v>55</v>
      </c>
    </row>
  </sheetData>
  <pageMargins left="0.3" right="0.3" top="0.4" bottom="0.4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47"/>
  <sheetViews>
    <sheetView showGridLines="0" zoomScale="125" zoomScaleNormal="100" workbookViewId="0">
      <pane xSplit="2" ySplit="4" topLeftCell="C27" activePane="bottomRight" state="frozen"/>
      <selection pane="topRight" activeCell="C1" sqref="C1"/>
      <selection pane="bottomLeft" activeCell="A5" sqref="A5"/>
      <selection pane="bottomRight" activeCell="C49" sqref="C49"/>
    </sheetView>
  </sheetViews>
  <sheetFormatPr baseColWidth="10" defaultColWidth="8.6640625" defaultRowHeight="15" x14ac:dyDescent="0.2"/>
  <cols>
    <col min="1" max="1" width="2" customWidth="1"/>
    <col min="2" max="2" width="38" customWidth="1"/>
    <col min="3" max="9" width="12" customWidth="1"/>
  </cols>
  <sheetData>
    <row r="1" spans="1:9" ht="21.75" customHeight="1" x14ac:dyDescent="0.2">
      <c r="A1" s="3"/>
      <c r="B1" s="4" t="s">
        <v>56</v>
      </c>
      <c r="C1" s="3"/>
      <c r="D1" s="3"/>
      <c r="E1" s="3"/>
      <c r="F1" s="3"/>
      <c r="G1" s="3"/>
      <c r="H1" s="3"/>
      <c r="I1" s="3"/>
    </row>
    <row r="2" spans="1:9" ht="3.75" customHeight="1" x14ac:dyDescent="0.2">
      <c r="A2" s="5"/>
      <c r="B2" s="5"/>
      <c r="C2" s="5"/>
      <c r="D2" s="5"/>
      <c r="E2" s="5"/>
      <c r="F2" s="5"/>
      <c r="G2" s="5"/>
      <c r="H2" s="5"/>
      <c r="I2" s="5"/>
    </row>
    <row r="3" spans="1:9" x14ac:dyDescent="0.2">
      <c r="B3" s="12" t="s">
        <v>57</v>
      </c>
    </row>
    <row r="4" spans="1:9" x14ac:dyDescent="0.2">
      <c r="C4" s="17" t="s">
        <v>58</v>
      </c>
      <c r="D4" s="17" t="s">
        <v>59</v>
      </c>
      <c r="E4" s="17" t="s">
        <v>60</v>
      </c>
      <c r="F4" s="17" t="s">
        <v>61</v>
      </c>
      <c r="G4" s="17" t="s">
        <v>62</v>
      </c>
      <c r="H4" s="17" t="s">
        <v>63</v>
      </c>
      <c r="I4" s="17" t="s">
        <v>64</v>
      </c>
    </row>
    <row r="6" spans="1:9" x14ac:dyDescent="0.2">
      <c r="B6" s="9" t="s">
        <v>65</v>
      </c>
      <c r="C6" s="3"/>
      <c r="D6" s="3"/>
      <c r="E6" s="3"/>
      <c r="F6" s="3"/>
      <c r="G6" s="3"/>
      <c r="H6" s="3"/>
      <c r="I6" s="3"/>
    </row>
    <row r="7" spans="1:9" x14ac:dyDescent="0.2">
      <c r="B7" s="13" t="s">
        <v>66</v>
      </c>
      <c r="D7" s="18">
        <f>Assumptions!$C$11</f>
        <v>1150</v>
      </c>
      <c r="E7" s="19">
        <f>D7*(1+Assumptions!$C$13)</f>
        <v>1184.5</v>
      </c>
      <c r="F7" s="19">
        <f>E7*(1+Assumptions!$C$13)</f>
        <v>1220.0350000000001</v>
      </c>
      <c r="G7" s="19">
        <f>F7*(1+Assumptions!$C$13)</f>
        <v>1256.6360500000001</v>
      </c>
      <c r="H7" s="19">
        <f>G7*(1+Assumptions!$C$13)</f>
        <v>1294.3351315000002</v>
      </c>
      <c r="I7" s="19">
        <f>H7*(1+Assumptions!$C$13)</f>
        <v>1333.1651854450004</v>
      </c>
    </row>
    <row r="8" spans="1:9" x14ac:dyDescent="0.2">
      <c r="B8" s="13" t="s">
        <v>67</v>
      </c>
      <c r="D8" s="18">
        <f>Assumptions!$C$12</f>
        <v>1400</v>
      </c>
      <c r="E8" s="19">
        <f>D8*(1+Assumptions!$C$13)</f>
        <v>1442</v>
      </c>
      <c r="F8" s="19">
        <f>E8*(1+Assumptions!$C$13)</f>
        <v>1485.26</v>
      </c>
      <c r="G8" s="19">
        <f>F8*(1+Assumptions!$C$13)</f>
        <v>1529.8178</v>
      </c>
      <c r="H8" s="19">
        <f>G8*(1+Assumptions!$C$13)</f>
        <v>1575.7123340000001</v>
      </c>
      <c r="I8" s="19">
        <f>H8*(1+Assumptions!$C$13)</f>
        <v>1622.98370402</v>
      </c>
    </row>
    <row r="9" spans="1:9" x14ac:dyDescent="0.2">
      <c r="B9" s="13" t="s">
        <v>68</v>
      </c>
      <c r="D9" s="20">
        <f>Assumptions!D16</f>
        <v>0</v>
      </c>
      <c r="E9" s="20">
        <f>Assumptions!E16</f>
        <v>60</v>
      </c>
      <c r="F9" s="20">
        <f>Assumptions!F16</f>
        <v>120</v>
      </c>
      <c r="G9" s="20">
        <f>Assumptions!G16</f>
        <v>120</v>
      </c>
      <c r="H9" s="20">
        <f>Assumptions!H16</f>
        <v>120</v>
      </c>
      <c r="I9" s="20">
        <f>Assumptions!H16</f>
        <v>120</v>
      </c>
    </row>
    <row r="10" spans="1:9" x14ac:dyDescent="0.2">
      <c r="B10" s="13" t="s">
        <v>69</v>
      </c>
      <c r="D10" s="21">
        <f>Assumptions!$C$5-D9</f>
        <v>120</v>
      </c>
      <c r="E10" s="21">
        <f>Assumptions!$C$5-E9</f>
        <v>60</v>
      </c>
      <c r="F10" s="21">
        <f>Assumptions!$C$5-F9</f>
        <v>0</v>
      </c>
      <c r="G10" s="21">
        <f>Assumptions!$C$5-G9</f>
        <v>0</v>
      </c>
      <c r="H10" s="21">
        <f>Assumptions!$C$5-H9</f>
        <v>0</v>
      </c>
      <c r="I10" s="21">
        <f>Assumptions!$C$5-I9</f>
        <v>0</v>
      </c>
    </row>
    <row r="11" spans="1:9" x14ac:dyDescent="0.2">
      <c r="B11" s="13" t="s">
        <v>70</v>
      </c>
      <c r="D11" s="19">
        <f t="shared" ref="D11:I11" si="0">(D9*D8+D10*D7)*12</f>
        <v>1656000</v>
      </c>
      <c r="E11" s="19">
        <f t="shared" si="0"/>
        <v>1891080</v>
      </c>
      <c r="F11" s="19">
        <f t="shared" si="0"/>
        <v>2138774.4000000004</v>
      </c>
      <c r="G11" s="19">
        <f t="shared" si="0"/>
        <v>2202937.6320000002</v>
      </c>
      <c r="H11" s="19">
        <f t="shared" si="0"/>
        <v>2269025.7609600001</v>
      </c>
      <c r="I11" s="19">
        <f t="shared" si="0"/>
        <v>2337096.5337888002</v>
      </c>
    </row>
    <row r="12" spans="1:9" x14ac:dyDescent="0.2">
      <c r="B12" s="13" t="s">
        <v>71</v>
      </c>
      <c r="D12" s="22">
        <f>Assumptions!D17</f>
        <v>0.9</v>
      </c>
      <c r="E12" s="22">
        <f>Assumptions!E17</f>
        <v>0.92</v>
      </c>
      <c r="F12" s="22">
        <f>Assumptions!F17</f>
        <v>0.95</v>
      </c>
      <c r="G12" s="22">
        <f>Assumptions!G17</f>
        <v>0.95</v>
      </c>
      <c r="H12" s="22">
        <f>Assumptions!H17</f>
        <v>0.95</v>
      </c>
      <c r="I12" s="22">
        <f>Assumptions!H17</f>
        <v>0.95</v>
      </c>
    </row>
    <row r="13" spans="1:9" x14ac:dyDescent="0.2">
      <c r="B13" s="10" t="s">
        <v>72</v>
      </c>
      <c r="D13" s="23">
        <f t="shared" ref="D13:I13" si="1">D11*D12</f>
        <v>1490400</v>
      </c>
      <c r="E13" s="23">
        <f t="shared" si="1"/>
        <v>1739793.6</v>
      </c>
      <c r="F13" s="23">
        <f t="shared" si="1"/>
        <v>2031835.6800000002</v>
      </c>
      <c r="G13" s="23">
        <f t="shared" si="1"/>
        <v>2092790.7504</v>
      </c>
      <c r="H13" s="23">
        <f t="shared" si="1"/>
        <v>2155574.472912</v>
      </c>
      <c r="I13" s="23">
        <f t="shared" si="1"/>
        <v>2220241.7070993599</v>
      </c>
    </row>
    <row r="14" spans="1:9" x14ac:dyDescent="0.2">
      <c r="B14" s="13" t="s">
        <v>73</v>
      </c>
      <c r="D14" s="19">
        <f>-D13*Assumptions!$C$14</f>
        <v>-447120</v>
      </c>
      <c r="E14" s="19">
        <f>-E13*Assumptions!$C$14</f>
        <v>-521938.08</v>
      </c>
      <c r="F14" s="19">
        <f>-F13*Assumptions!$C$14</f>
        <v>-609550.70400000003</v>
      </c>
      <c r="G14" s="19">
        <f>-G13*Assumptions!$C$14</f>
        <v>-627837.22511999996</v>
      </c>
      <c r="H14" s="19">
        <f>-H13*Assumptions!$C$14</f>
        <v>-646672.34187360003</v>
      </c>
      <c r="I14" s="19">
        <f>-I13*Assumptions!$C$14</f>
        <v>-666072.51212980796</v>
      </c>
    </row>
    <row r="15" spans="1:9" x14ac:dyDescent="0.2">
      <c r="B15" s="10" t="s">
        <v>74</v>
      </c>
      <c r="D15" s="24">
        <f t="shared" ref="D15:I15" si="2">D13+D14</f>
        <v>1043280</v>
      </c>
      <c r="E15" s="24">
        <f t="shared" si="2"/>
        <v>1217855.52</v>
      </c>
      <c r="F15" s="24">
        <f t="shared" si="2"/>
        <v>1422284.9760000003</v>
      </c>
      <c r="G15" s="24">
        <f t="shared" si="2"/>
        <v>1464953.5252800002</v>
      </c>
      <c r="H15" s="24">
        <f t="shared" si="2"/>
        <v>1508902.1310383999</v>
      </c>
      <c r="I15" s="24">
        <f t="shared" si="2"/>
        <v>1554169.1949695521</v>
      </c>
    </row>
    <row r="16" spans="1:9" x14ac:dyDescent="0.2">
      <c r="B16" s="13" t="s">
        <v>75</v>
      </c>
      <c r="D16" s="19">
        <f>-Assumptions!$C$8*(Assumptions!E16-Assumptions!D16)</f>
        <v>-1320000</v>
      </c>
      <c r="E16" s="19">
        <f>-Assumptions!$C$8*(Assumptions!F16-Assumptions!E16)</f>
        <v>-1320000</v>
      </c>
    </row>
    <row r="18" spans="2:9" x14ac:dyDescent="0.2">
      <c r="B18" s="9" t="s">
        <v>76</v>
      </c>
      <c r="C18" s="3"/>
      <c r="D18" s="3"/>
      <c r="E18" s="3"/>
      <c r="F18" s="3"/>
      <c r="G18" s="3"/>
      <c r="H18" s="3"/>
      <c r="I18" s="3"/>
    </row>
    <row r="19" spans="2:9" x14ac:dyDescent="0.2">
      <c r="B19" s="13" t="s">
        <v>77</v>
      </c>
      <c r="C19" s="19">
        <f>Assumptions!$C$6*(1+Assumptions!$C$7)</f>
        <v>23100000</v>
      </c>
    </row>
    <row r="20" spans="2:9" x14ac:dyDescent="0.2">
      <c r="B20" s="13" t="s">
        <v>78</v>
      </c>
      <c r="C20" s="19">
        <f>C19+Assumptions!$C$8*Assumptions!$C$5</f>
        <v>25740000</v>
      </c>
    </row>
    <row r="21" spans="2:9" x14ac:dyDescent="0.2">
      <c r="B21" s="13" t="s">
        <v>79</v>
      </c>
      <c r="C21" s="19">
        <f>Assumptions!$C$20*C20</f>
        <v>15444000</v>
      </c>
    </row>
    <row r="22" spans="2:9" x14ac:dyDescent="0.2">
      <c r="B22" s="13" t="s">
        <v>80</v>
      </c>
      <c r="C22" s="23">
        <f>C20-C21</f>
        <v>10296000</v>
      </c>
    </row>
    <row r="24" spans="2:9" x14ac:dyDescent="0.2">
      <c r="B24" s="13" t="s">
        <v>81</v>
      </c>
      <c r="D24" s="19">
        <f>-$C$21*Assumptions!$C$21</f>
        <v>-926640</v>
      </c>
      <c r="E24" s="19">
        <f>-$C$21*Assumptions!$C$21</f>
        <v>-926640</v>
      </c>
      <c r="F24" s="19">
        <f>-$C$21*Assumptions!$C$21</f>
        <v>-926640</v>
      </c>
    </row>
    <row r="25" spans="2:9" x14ac:dyDescent="0.2">
      <c r="B25" s="25" t="s">
        <v>82</v>
      </c>
    </row>
    <row r="26" spans="2:9" x14ac:dyDescent="0.2">
      <c r="B26" s="13" t="s">
        <v>83</v>
      </c>
      <c r="F26" s="19">
        <f>G15/Assumptions!$C$23</f>
        <v>30841126.848000005</v>
      </c>
    </row>
    <row r="27" spans="2:9" x14ac:dyDescent="0.2">
      <c r="B27" s="13" t="s">
        <v>84</v>
      </c>
      <c r="F27" s="19">
        <f>F26*Assumptions!$C$24</f>
        <v>20046732.451200005</v>
      </c>
    </row>
    <row r="28" spans="2:9" x14ac:dyDescent="0.2">
      <c r="B28" s="13" t="s">
        <v>85</v>
      </c>
      <c r="F28" s="23">
        <f>F27-C21</f>
        <v>4602732.4512000047</v>
      </c>
    </row>
    <row r="29" spans="2:9" x14ac:dyDescent="0.2">
      <c r="B29" s="13" t="s">
        <v>86</v>
      </c>
      <c r="G29" s="19">
        <f>-$F$27*Assumptions!$C$25</f>
        <v>-1152687.1159440004</v>
      </c>
      <c r="H29" s="19">
        <f>-$F$27*Assumptions!$C$25</f>
        <v>-1152687.1159440004</v>
      </c>
    </row>
    <row r="31" spans="2:9" x14ac:dyDescent="0.2">
      <c r="B31" s="9" t="s">
        <v>87</v>
      </c>
      <c r="C31" s="3"/>
      <c r="D31" s="3"/>
      <c r="E31" s="3"/>
      <c r="F31" s="3"/>
      <c r="G31" s="3"/>
      <c r="H31" s="3"/>
      <c r="I31" s="3"/>
    </row>
    <row r="32" spans="2:9" x14ac:dyDescent="0.2">
      <c r="B32" s="13" t="s">
        <v>88</v>
      </c>
      <c r="C32" s="19">
        <f>I15/Assumptions!$C$28</f>
        <v>34537093.221545607</v>
      </c>
    </row>
    <row r="33" spans="2:9" x14ac:dyDescent="0.2">
      <c r="B33" s="13" t="s">
        <v>89</v>
      </c>
      <c r="C33" s="19">
        <f>-C32*Assumptions!$C$29</f>
        <v>-518056.39832318411</v>
      </c>
    </row>
    <row r="34" spans="2:9" x14ac:dyDescent="0.2">
      <c r="B34" s="13" t="s">
        <v>90</v>
      </c>
      <c r="C34" s="23">
        <f>C32+C33</f>
        <v>34019036.823222421</v>
      </c>
    </row>
    <row r="35" spans="2:9" x14ac:dyDescent="0.2">
      <c r="B35" s="13" t="s">
        <v>91</v>
      </c>
      <c r="C35" s="19">
        <f>-F27</f>
        <v>-20046732.451200005</v>
      </c>
    </row>
    <row r="36" spans="2:9" x14ac:dyDescent="0.2">
      <c r="B36" s="13" t="s">
        <v>92</v>
      </c>
      <c r="C36" s="23">
        <f>C34+C35</f>
        <v>13972304.372022416</v>
      </c>
    </row>
    <row r="38" spans="2:9" x14ac:dyDescent="0.2">
      <c r="B38" s="9" t="s">
        <v>93</v>
      </c>
      <c r="C38" s="3"/>
      <c r="D38" s="3"/>
      <c r="E38" s="3"/>
      <c r="F38" s="3"/>
      <c r="G38" s="3"/>
      <c r="H38" s="3"/>
      <c r="I38" s="3"/>
    </row>
    <row r="39" spans="2:9" x14ac:dyDescent="0.2">
      <c r="B39" s="10" t="s">
        <v>94</v>
      </c>
      <c r="C39" s="19">
        <f>-C19</f>
        <v>-23100000</v>
      </c>
      <c r="D39" s="19">
        <f>D15+D16</f>
        <v>-276720</v>
      </c>
      <c r="E39" s="19">
        <f>E15+E16</f>
        <v>-102144.47999999998</v>
      </c>
      <c r="F39" s="19">
        <f>F15</f>
        <v>1422284.9760000003</v>
      </c>
      <c r="G39" s="19">
        <f>G15</f>
        <v>1464953.5252800002</v>
      </c>
      <c r="H39" s="19">
        <f>H15+C34</f>
        <v>35527938.954260819</v>
      </c>
    </row>
    <row r="40" spans="2:9" x14ac:dyDescent="0.2">
      <c r="B40" s="10" t="s">
        <v>95</v>
      </c>
      <c r="C40" s="26">
        <f>-(C19-C21)</f>
        <v>-7656000</v>
      </c>
      <c r="D40" s="26">
        <f>D15+D24+D16</f>
        <v>-1203360</v>
      </c>
      <c r="E40" s="26">
        <f>E15+E24+E16</f>
        <v>-1028784.48</v>
      </c>
      <c r="F40" s="26">
        <f>F15+F24+F28</f>
        <v>5098377.4272000045</v>
      </c>
      <c r="G40" s="26">
        <f>G15+G29</f>
        <v>312266.40933599975</v>
      </c>
      <c r="H40" s="26">
        <f>H15+H29+C36</f>
        <v>14328519.387116816</v>
      </c>
    </row>
    <row r="42" spans="2:9" x14ac:dyDescent="0.2">
      <c r="B42" s="13" t="s">
        <v>96</v>
      </c>
      <c r="C42" s="27">
        <f>IRR(C39:H39)</f>
        <v>0.10662946871610446</v>
      </c>
    </row>
    <row r="43" spans="2:9" x14ac:dyDescent="0.2">
      <c r="B43" s="13" t="s">
        <v>97</v>
      </c>
      <c r="C43" s="28">
        <f>SUMIF(C39:H39,"&gt;0")/-SUMIF(C39:H39,"&lt;0")</f>
        <v>1.6361599381547611</v>
      </c>
    </row>
    <row r="44" spans="2:9" x14ac:dyDescent="0.2">
      <c r="B44" s="10" t="s">
        <v>98</v>
      </c>
      <c r="C44" s="29">
        <f>IRR(C40:H40)</f>
        <v>0.18345472188465739</v>
      </c>
    </row>
    <row r="45" spans="2:9" x14ac:dyDescent="0.2">
      <c r="B45" s="13" t="s">
        <v>99</v>
      </c>
      <c r="C45" s="28">
        <f>SUMIF(C40:H40,"&gt;0")/-SUMIF(C40:H40,"&lt;0")</f>
        <v>1.9962454294208309</v>
      </c>
    </row>
    <row r="46" spans="2:9" x14ac:dyDescent="0.2">
      <c r="B46" s="13" t="s">
        <v>100</v>
      </c>
      <c r="C46" s="30">
        <f>D15/Assumptions!$C$6</f>
        <v>4.7421818181818183E-2</v>
      </c>
    </row>
    <row r="47" spans="2:9" x14ac:dyDescent="0.2">
      <c r="B47" s="13" t="s">
        <v>101</v>
      </c>
      <c r="C47" s="30">
        <f>F15/C20</f>
        <v>5.5255826573426585E-2</v>
      </c>
    </row>
  </sheetData>
  <pageMargins left="0.3" right="0.3" top="0.4" bottom="0.4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46"/>
  <sheetViews>
    <sheetView showGridLines="0" topLeftCell="A26" zoomScale="150" zoomScaleNormal="100" workbookViewId="0">
      <selection activeCell="B8" sqref="B8"/>
    </sheetView>
  </sheetViews>
  <sheetFormatPr baseColWidth="10" defaultColWidth="8.6640625" defaultRowHeight="15" x14ac:dyDescent="0.2"/>
  <cols>
    <col min="1" max="1" width="2" customWidth="1"/>
    <col min="2" max="2" width="42" customWidth="1"/>
    <col min="3" max="8" width="12" customWidth="1"/>
  </cols>
  <sheetData>
    <row r="1" spans="1:9" ht="21.75" customHeight="1" x14ac:dyDescent="0.2">
      <c r="A1" s="3"/>
      <c r="B1" s="4" t="s">
        <v>102</v>
      </c>
      <c r="C1" s="3"/>
      <c r="D1" s="3"/>
      <c r="E1" s="3"/>
      <c r="F1" s="3"/>
      <c r="G1" s="3"/>
      <c r="H1" s="3"/>
      <c r="I1" s="3"/>
    </row>
    <row r="2" spans="1:9" ht="3.75" customHeight="1" x14ac:dyDescent="0.2">
      <c r="A2" s="5"/>
      <c r="B2" s="5"/>
      <c r="C2" s="5"/>
      <c r="D2" s="5"/>
      <c r="E2" s="5"/>
      <c r="F2" s="5"/>
      <c r="G2" s="5"/>
      <c r="H2" s="5"/>
      <c r="I2" s="5"/>
    </row>
    <row r="3" spans="1:9" x14ac:dyDescent="0.2">
      <c r="B3" s="12" t="s">
        <v>103</v>
      </c>
    </row>
    <row r="4" spans="1:9" x14ac:dyDescent="0.2">
      <c r="C4" s="17" t="s">
        <v>58</v>
      </c>
      <c r="D4" s="17" t="s">
        <v>59</v>
      </c>
      <c r="E4" s="17" t="s">
        <v>60</v>
      </c>
      <c r="F4" s="17" t="s">
        <v>61</v>
      </c>
      <c r="G4" s="17" t="s">
        <v>62</v>
      </c>
      <c r="H4" s="17" t="s">
        <v>63</v>
      </c>
    </row>
    <row r="6" spans="1:9" x14ac:dyDescent="0.2">
      <c r="B6" s="9" t="s">
        <v>104</v>
      </c>
      <c r="C6" s="3"/>
      <c r="D6" s="3"/>
      <c r="E6" s="3"/>
      <c r="F6" s="3"/>
      <c r="G6" s="3"/>
      <c r="H6" s="3"/>
    </row>
    <row r="7" spans="1:9" x14ac:dyDescent="0.2">
      <c r="B7" s="13" t="s">
        <v>105</v>
      </c>
      <c r="C7" s="18">
        <f>'Property Model'!C40</f>
        <v>-7656000</v>
      </c>
      <c r="D7" s="18">
        <f>'Property Model'!D40</f>
        <v>-1203360</v>
      </c>
      <c r="E7" s="18">
        <f>'Property Model'!E40</f>
        <v>-1028784.48</v>
      </c>
      <c r="F7" s="18">
        <f>'Property Model'!F40</f>
        <v>5098377.4272000045</v>
      </c>
      <c r="G7" s="18">
        <f>'Property Model'!G40</f>
        <v>312266.40933599975</v>
      </c>
      <c r="H7" s="18">
        <f>'Property Model'!H40</f>
        <v>14328519.387116816</v>
      </c>
    </row>
    <row r="8" spans="1:9" x14ac:dyDescent="0.2">
      <c r="B8" s="13" t="s">
        <v>106</v>
      </c>
      <c r="C8" s="19">
        <f>IF(C7&lt;0,Assumptions!$C$32*-C7,0)</f>
        <v>6890400</v>
      </c>
      <c r="D8" s="19">
        <f>IF(D7&lt;0,Assumptions!$C$32*-D7,0)</f>
        <v>1083024</v>
      </c>
      <c r="E8" s="19">
        <f>IF(E7&lt;0,Assumptions!$C$32*-E7,0)</f>
        <v>925906.03200000001</v>
      </c>
      <c r="F8" s="19">
        <f>IF(F7&lt;0,Assumptions!$C$32*-F7,0)</f>
        <v>0</v>
      </c>
      <c r="G8" s="19">
        <f>IF(G7&lt;0,Assumptions!$C$32*-G7,0)</f>
        <v>0</v>
      </c>
      <c r="H8" s="19">
        <f>IF(H7&lt;0,Assumptions!$C$32*-H7,0)</f>
        <v>0</v>
      </c>
    </row>
    <row r="9" spans="1:9" x14ac:dyDescent="0.2">
      <c r="B9" s="13" t="s">
        <v>107</v>
      </c>
      <c r="C9" s="19">
        <f>IF(C7&lt;0,Assumptions!$C$33*-C7,0)</f>
        <v>765600</v>
      </c>
      <c r="D9" s="19">
        <f>IF(D7&lt;0,Assumptions!$C$33*-D7,0)</f>
        <v>120336</v>
      </c>
      <c r="E9" s="19">
        <f>IF(E7&lt;0,Assumptions!$C$33*-E7,0)</f>
        <v>102878.448</v>
      </c>
      <c r="F9" s="19">
        <f>IF(F7&lt;0,Assumptions!$C$33*-F7,0)</f>
        <v>0</v>
      </c>
      <c r="G9" s="19">
        <f>IF(G7&lt;0,Assumptions!$C$33*-G7,0)</f>
        <v>0</v>
      </c>
      <c r="H9" s="19">
        <f>IF(H7&lt;0,Assumptions!$C$33*-H7,0)</f>
        <v>0</v>
      </c>
    </row>
    <row r="10" spans="1:9" x14ac:dyDescent="0.2">
      <c r="B10" s="13" t="s">
        <v>108</v>
      </c>
      <c r="C10" s="19">
        <f t="shared" ref="C10:H10" si="0">IF(C7&gt;0,C7,0)</f>
        <v>0</v>
      </c>
      <c r="D10" s="19">
        <f t="shared" si="0"/>
        <v>0</v>
      </c>
      <c r="E10" s="19">
        <f t="shared" si="0"/>
        <v>0</v>
      </c>
      <c r="F10" s="19">
        <f t="shared" si="0"/>
        <v>5098377.4272000045</v>
      </c>
      <c r="G10" s="19">
        <f t="shared" si="0"/>
        <v>312266.40933599975</v>
      </c>
      <c r="H10" s="19">
        <f t="shared" si="0"/>
        <v>14328519.387116816</v>
      </c>
    </row>
    <row r="12" spans="1:9" x14ac:dyDescent="0.2">
      <c r="B12" s="9" t="s">
        <v>109</v>
      </c>
      <c r="C12" s="3"/>
      <c r="D12" s="3"/>
      <c r="E12" s="3"/>
      <c r="F12" s="3"/>
      <c r="G12" s="3"/>
      <c r="H12" s="3"/>
    </row>
    <row r="13" spans="1:9" x14ac:dyDescent="0.2">
      <c r="B13" s="13" t="s">
        <v>110</v>
      </c>
      <c r="C13" s="51">
        <v>0</v>
      </c>
      <c r="D13" s="19">
        <f>C22</f>
        <v>6890400</v>
      </c>
      <c r="E13" s="19">
        <f>D22</f>
        <v>8524656</v>
      </c>
      <c r="F13" s="19">
        <f>E22</f>
        <v>10132534.512</v>
      </c>
      <c r="G13" s="19">
        <f>F22</f>
        <v>6354597.5884799976</v>
      </c>
      <c r="H13" s="19">
        <f>G22</f>
        <v>6581925.6271559987</v>
      </c>
    </row>
    <row r="14" spans="1:9" x14ac:dyDescent="0.2">
      <c r="B14" s="13" t="s">
        <v>111</v>
      </c>
      <c r="C14" s="19">
        <f>C13*(1+Assumptions!$C$34)+C8</f>
        <v>6890400</v>
      </c>
      <c r="D14" s="19">
        <f>D13*(1+Assumptions!$C$34)+D8</f>
        <v>8524656</v>
      </c>
      <c r="E14" s="19">
        <f>E13*(1+Assumptions!$C$34)+E8</f>
        <v>10132534.512</v>
      </c>
      <c r="F14" s="19">
        <f>F13*(1+Assumptions!$C$34)+F8</f>
        <v>10943137.272960002</v>
      </c>
      <c r="G14" s="19">
        <f>G13*(1+Assumptions!$C$34)+G8</f>
        <v>6862965.3955583982</v>
      </c>
      <c r="H14" s="19">
        <f>H13*(1+Assumptions!$C$34)+H8</f>
        <v>7108479.6773284795</v>
      </c>
    </row>
    <row r="15" spans="1:9" x14ac:dyDescent="0.2">
      <c r="B15" s="13" t="s">
        <v>112</v>
      </c>
      <c r="C15" s="51">
        <v>0</v>
      </c>
      <c r="D15" s="19">
        <f>C23</f>
        <v>765600</v>
      </c>
      <c r="E15" s="19">
        <f>D23</f>
        <v>947184</v>
      </c>
      <c r="F15" s="19">
        <f>E23</f>
        <v>1125837.1680000001</v>
      </c>
      <c r="G15" s="19">
        <f>F23</f>
        <v>706066.39871999971</v>
      </c>
      <c r="H15" s="19">
        <f>G23</f>
        <v>731325.06968399975</v>
      </c>
    </row>
    <row r="16" spans="1:9" x14ac:dyDescent="0.2">
      <c r="B16" s="13" t="s">
        <v>113</v>
      </c>
      <c r="C16" s="19">
        <f>C15*(1+Assumptions!$C$34)+C9</f>
        <v>765600</v>
      </c>
      <c r="D16" s="19">
        <f>D15*(1+Assumptions!$C$34)+D9</f>
        <v>947184</v>
      </c>
      <c r="E16" s="19">
        <f>E15*(1+Assumptions!$C$34)+E9</f>
        <v>1125837.1680000001</v>
      </c>
      <c r="F16" s="19">
        <f>F15*(1+Assumptions!$C$34)+F9</f>
        <v>1215904.1414400002</v>
      </c>
      <c r="G16" s="19">
        <f>G15*(1+Assumptions!$C$34)+G9</f>
        <v>762551.71061759978</v>
      </c>
      <c r="H16" s="19">
        <f>H15*(1+Assumptions!$C$34)+H9</f>
        <v>789831.07525871973</v>
      </c>
    </row>
    <row r="17" spans="2:8" x14ac:dyDescent="0.2">
      <c r="B17" s="13" t="s">
        <v>114</v>
      </c>
      <c r="C17" s="19">
        <f t="shared" ref="C17:H17" si="1">C14+C16</f>
        <v>7656000</v>
      </c>
      <c r="D17" s="19">
        <f t="shared" si="1"/>
        <v>9471840</v>
      </c>
      <c r="E17" s="19">
        <f t="shared" si="1"/>
        <v>11258371.68</v>
      </c>
      <c r="F17" s="19">
        <f t="shared" si="1"/>
        <v>12159041.414400002</v>
      </c>
      <c r="G17" s="19">
        <f t="shared" si="1"/>
        <v>7625517.1061759982</v>
      </c>
      <c r="H17" s="19">
        <f t="shared" si="1"/>
        <v>7898310.7525871992</v>
      </c>
    </row>
    <row r="18" spans="2:8" x14ac:dyDescent="0.2">
      <c r="B18" s="13" t="s">
        <v>115</v>
      </c>
      <c r="C18" s="19">
        <f t="shared" ref="C18:H18" si="2">MIN(C10,C17)</f>
        <v>0</v>
      </c>
      <c r="D18" s="19">
        <f t="shared" si="2"/>
        <v>0</v>
      </c>
      <c r="E18" s="19">
        <f t="shared" si="2"/>
        <v>0</v>
      </c>
      <c r="F18" s="19">
        <f t="shared" si="2"/>
        <v>5098377.4272000045</v>
      </c>
      <c r="G18" s="19">
        <f t="shared" si="2"/>
        <v>312266.40933599975</v>
      </c>
      <c r="H18" s="19">
        <f t="shared" si="2"/>
        <v>7898310.7525871992</v>
      </c>
    </row>
    <row r="19" spans="2:8" x14ac:dyDescent="0.2">
      <c r="B19" s="13" t="s">
        <v>116</v>
      </c>
      <c r="C19" s="19">
        <f t="shared" ref="C19:H19" si="3">IF(C17&gt;0,C18*C14/C17,0)</f>
        <v>0</v>
      </c>
      <c r="D19" s="19">
        <f t="shared" si="3"/>
        <v>0</v>
      </c>
      <c r="E19" s="19">
        <f t="shared" si="3"/>
        <v>0</v>
      </c>
      <c r="F19" s="19">
        <f t="shared" si="3"/>
        <v>4588539.684480004</v>
      </c>
      <c r="G19" s="19">
        <f t="shared" si="3"/>
        <v>281039.76840239979</v>
      </c>
      <c r="H19" s="19">
        <f t="shared" si="3"/>
        <v>7108479.6773284795</v>
      </c>
    </row>
    <row r="20" spans="2:8" x14ac:dyDescent="0.2">
      <c r="B20" s="13" t="s">
        <v>117</v>
      </c>
      <c r="C20" s="19">
        <f t="shared" ref="C20:H20" si="4">C18-C19</f>
        <v>0</v>
      </c>
      <c r="D20" s="19">
        <f t="shared" si="4"/>
        <v>0</v>
      </c>
      <c r="E20" s="19">
        <f t="shared" si="4"/>
        <v>0</v>
      </c>
      <c r="F20" s="19">
        <f t="shared" si="4"/>
        <v>509837.74272000045</v>
      </c>
      <c r="G20" s="19">
        <f t="shared" si="4"/>
        <v>31226.640933599963</v>
      </c>
      <c r="H20" s="19">
        <f t="shared" si="4"/>
        <v>789831.07525871973</v>
      </c>
    </row>
    <row r="21" spans="2:8" x14ac:dyDescent="0.2">
      <c r="B21" s="13" t="s">
        <v>118</v>
      </c>
      <c r="C21" s="19">
        <f t="shared" ref="C21:H21" si="5">C10-C18</f>
        <v>0</v>
      </c>
      <c r="D21" s="19">
        <f t="shared" si="5"/>
        <v>0</v>
      </c>
      <c r="E21" s="19">
        <f t="shared" si="5"/>
        <v>0</v>
      </c>
      <c r="F21" s="19">
        <f t="shared" si="5"/>
        <v>0</v>
      </c>
      <c r="G21" s="19">
        <f t="shared" si="5"/>
        <v>0</v>
      </c>
      <c r="H21" s="19">
        <f t="shared" si="5"/>
        <v>6430208.6345296167</v>
      </c>
    </row>
    <row r="22" spans="2:8" x14ac:dyDescent="0.2">
      <c r="B22" s="13" t="s">
        <v>119</v>
      </c>
      <c r="C22" s="19">
        <f t="shared" ref="C22:H22" si="6">C14-C19</f>
        <v>6890400</v>
      </c>
      <c r="D22" s="19">
        <f t="shared" si="6"/>
        <v>8524656</v>
      </c>
      <c r="E22" s="19">
        <f t="shared" si="6"/>
        <v>10132534.512</v>
      </c>
      <c r="F22" s="19">
        <f t="shared" si="6"/>
        <v>6354597.5884799976</v>
      </c>
      <c r="G22" s="19">
        <f t="shared" si="6"/>
        <v>6581925.6271559987</v>
      </c>
      <c r="H22" s="19">
        <f t="shared" si="6"/>
        <v>0</v>
      </c>
    </row>
    <row r="23" spans="2:8" x14ac:dyDescent="0.2">
      <c r="B23" s="13" t="s">
        <v>120</v>
      </c>
      <c r="C23" s="19">
        <f t="shared" ref="C23:H23" si="7">C16-C20</f>
        <v>765600</v>
      </c>
      <c r="D23" s="19">
        <f t="shared" si="7"/>
        <v>947184</v>
      </c>
      <c r="E23" s="19">
        <f t="shared" si="7"/>
        <v>1125837.1680000001</v>
      </c>
      <c r="F23" s="19">
        <f t="shared" si="7"/>
        <v>706066.39871999971</v>
      </c>
      <c r="G23" s="19">
        <f t="shared" si="7"/>
        <v>731325.06968399975</v>
      </c>
      <c r="H23" s="19">
        <f t="shared" si="7"/>
        <v>0</v>
      </c>
    </row>
    <row r="24" spans="2:8" x14ac:dyDescent="0.2">
      <c r="B24" s="13" t="s">
        <v>121</v>
      </c>
      <c r="C24" s="51">
        <v>0</v>
      </c>
      <c r="D24" s="19">
        <f>C31</f>
        <v>6890400</v>
      </c>
      <c r="E24" s="19">
        <f>D31</f>
        <v>9006984</v>
      </c>
      <c r="F24" s="19">
        <f>E31</f>
        <v>11283937.631999999</v>
      </c>
      <c r="G24" s="19">
        <f>F31</f>
        <v>8387988.5923199933</v>
      </c>
      <c r="H24" s="19">
        <f>G31</f>
        <v>9365147.1127655916</v>
      </c>
    </row>
    <row r="25" spans="2:8" x14ac:dyDescent="0.2">
      <c r="B25" s="13" t="s">
        <v>122</v>
      </c>
      <c r="C25" s="19">
        <f>C24*(1+Assumptions!$C$35)+C8-C19</f>
        <v>6890400</v>
      </c>
      <c r="D25" s="19">
        <f>D24*(1+Assumptions!$C$35)+D8-D19</f>
        <v>9006984</v>
      </c>
      <c r="E25" s="19">
        <f>E24*(1+Assumptions!$C$35)+E8-E19</f>
        <v>11283937.631999999</v>
      </c>
      <c r="F25" s="19">
        <f>F24*(1+Assumptions!$C$35)+F8-F19</f>
        <v>8387988.5923199933</v>
      </c>
      <c r="G25" s="19">
        <f>G24*(1+Assumptions!$C$35)+G8-G19</f>
        <v>9365147.1127655916</v>
      </c>
      <c r="H25" s="19">
        <f>H24*(1+Assumptions!$C$35)+H8-H19</f>
        <v>3661439.5023519499</v>
      </c>
    </row>
    <row r="26" spans="2:8" x14ac:dyDescent="0.2">
      <c r="B26" s="13" t="s">
        <v>123</v>
      </c>
      <c r="C26" s="19">
        <f t="shared" ref="C26:H26" si="8">MAX(0,C25)/0.8</f>
        <v>8613000</v>
      </c>
      <c r="D26" s="19">
        <f t="shared" si="8"/>
        <v>11258730</v>
      </c>
      <c r="E26" s="19">
        <f t="shared" si="8"/>
        <v>14104922.039999999</v>
      </c>
      <c r="F26" s="19">
        <f t="shared" si="8"/>
        <v>10484985.74039999</v>
      </c>
      <c r="G26" s="19">
        <f t="shared" si="8"/>
        <v>11706433.890956989</v>
      </c>
      <c r="H26" s="19">
        <f t="shared" si="8"/>
        <v>4576799.3779399367</v>
      </c>
    </row>
    <row r="27" spans="2:8" x14ac:dyDescent="0.2">
      <c r="B27" s="13" t="s">
        <v>124</v>
      </c>
      <c r="C27" s="19">
        <f t="shared" ref="C27:H27" si="9">MIN(C21,C26)</f>
        <v>0</v>
      </c>
      <c r="D27" s="19">
        <f t="shared" si="9"/>
        <v>0</v>
      </c>
      <c r="E27" s="19">
        <f t="shared" si="9"/>
        <v>0</v>
      </c>
      <c r="F27" s="19">
        <f t="shared" si="9"/>
        <v>0</v>
      </c>
      <c r="G27" s="19">
        <f t="shared" si="9"/>
        <v>0</v>
      </c>
      <c r="H27" s="19">
        <f t="shared" si="9"/>
        <v>4576799.3779399367</v>
      </c>
    </row>
    <row r="28" spans="2:8" x14ac:dyDescent="0.2">
      <c r="B28" s="13" t="s">
        <v>125</v>
      </c>
      <c r="C28" s="19">
        <f t="shared" ref="C28:H28" si="10">C27*0.8</f>
        <v>0</v>
      </c>
      <c r="D28" s="19">
        <f t="shared" si="10"/>
        <v>0</v>
      </c>
      <c r="E28" s="19">
        <f t="shared" si="10"/>
        <v>0</v>
      </c>
      <c r="F28" s="19">
        <f t="shared" si="10"/>
        <v>0</v>
      </c>
      <c r="G28" s="19">
        <f t="shared" si="10"/>
        <v>0</v>
      </c>
      <c r="H28" s="19">
        <f t="shared" si="10"/>
        <v>3661439.5023519495</v>
      </c>
    </row>
    <row r="29" spans="2:8" x14ac:dyDescent="0.2">
      <c r="B29" s="13" t="s">
        <v>126</v>
      </c>
      <c r="C29" s="19">
        <f t="shared" ref="C29:H29" si="11">C27*0.2</f>
        <v>0</v>
      </c>
      <c r="D29" s="19">
        <f t="shared" si="11"/>
        <v>0</v>
      </c>
      <c r="E29" s="19">
        <f t="shared" si="11"/>
        <v>0</v>
      </c>
      <c r="F29" s="19">
        <f t="shared" si="11"/>
        <v>0</v>
      </c>
      <c r="G29" s="19">
        <f t="shared" si="11"/>
        <v>0</v>
      </c>
      <c r="H29" s="19">
        <f t="shared" si="11"/>
        <v>915359.87558798736</v>
      </c>
    </row>
    <row r="30" spans="2:8" x14ac:dyDescent="0.2">
      <c r="B30" s="13" t="s">
        <v>127</v>
      </c>
      <c r="C30" s="19">
        <f t="shared" ref="C30:H30" si="12">C21-C27</f>
        <v>0</v>
      </c>
      <c r="D30" s="19">
        <f t="shared" si="12"/>
        <v>0</v>
      </c>
      <c r="E30" s="19">
        <f t="shared" si="12"/>
        <v>0</v>
      </c>
      <c r="F30" s="19">
        <f t="shared" si="12"/>
        <v>0</v>
      </c>
      <c r="G30" s="19">
        <f t="shared" si="12"/>
        <v>0</v>
      </c>
      <c r="H30" s="19">
        <f t="shared" si="12"/>
        <v>1853409.25658968</v>
      </c>
    </row>
    <row r="31" spans="2:8" x14ac:dyDescent="0.2">
      <c r="B31" s="13" t="s">
        <v>128</v>
      </c>
      <c r="C31" s="19">
        <f t="shared" ref="C31:H31" si="13">C25-C28</f>
        <v>6890400</v>
      </c>
      <c r="D31" s="19">
        <f t="shared" si="13"/>
        <v>9006984</v>
      </c>
      <c r="E31" s="19">
        <f t="shared" si="13"/>
        <v>11283937.631999999</v>
      </c>
      <c r="F31" s="19">
        <f t="shared" si="13"/>
        <v>8387988.5923199933</v>
      </c>
      <c r="G31" s="19">
        <f t="shared" si="13"/>
        <v>9365147.1127655916</v>
      </c>
      <c r="H31" s="19">
        <f t="shared" si="13"/>
        <v>0</v>
      </c>
    </row>
    <row r="32" spans="2:8" x14ac:dyDescent="0.2">
      <c r="B32" s="13" t="s">
        <v>129</v>
      </c>
      <c r="C32" s="19">
        <f t="shared" ref="C32:H32" si="14">C30</f>
        <v>0</v>
      </c>
      <c r="D32" s="19">
        <f t="shared" si="14"/>
        <v>0</v>
      </c>
      <c r="E32" s="19">
        <f t="shared" si="14"/>
        <v>0</v>
      </c>
      <c r="F32" s="19">
        <f t="shared" si="14"/>
        <v>0</v>
      </c>
      <c r="G32" s="19">
        <f t="shared" si="14"/>
        <v>0</v>
      </c>
      <c r="H32" s="19">
        <f t="shared" si="14"/>
        <v>1853409.25658968</v>
      </c>
    </row>
    <row r="33" spans="2:8" x14ac:dyDescent="0.2">
      <c r="B33" s="13" t="s">
        <v>130</v>
      </c>
      <c r="C33" s="19">
        <f t="shared" ref="C33:H33" si="15">C32*0.7</f>
        <v>0</v>
      </c>
      <c r="D33" s="19">
        <f t="shared" si="15"/>
        <v>0</v>
      </c>
      <c r="E33" s="19">
        <f t="shared" si="15"/>
        <v>0</v>
      </c>
      <c r="F33" s="19">
        <f t="shared" si="15"/>
        <v>0</v>
      </c>
      <c r="G33" s="19">
        <f t="shared" si="15"/>
        <v>0</v>
      </c>
      <c r="H33" s="19">
        <f t="shared" si="15"/>
        <v>1297386.4796127758</v>
      </c>
    </row>
    <row r="34" spans="2:8" x14ac:dyDescent="0.2">
      <c r="B34" s="13" t="s">
        <v>131</v>
      </c>
      <c r="C34" s="19">
        <f t="shared" ref="C34:H34" si="16">C32*0.3</f>
        <v>0</v>
      </c>
      <c r="D34" s="19">
        <f t="shared" si="16"/>
        <v>0</v>
      </c>
      <c r="E34" s="19">
        <f t="shared" si="16"/>
        <v>0</v>
      </c>
      <c r="F34" s="19">
        <f t="shared" si="16"/>
        <v>0</v>
      </c>
      <c r="G34" s="19">
        <f t="shared" si="16"/>
        <v>0</v>
      </c>
      <c r="H34" s="19">
        <f t="shared" si="16"/>
        <v>556022.77697690402</v>
      </c>
    </row>
    <row r="35" spans="2:8" x14ac:dyDescent="0.2">
      <c r="B35" s="10" t="s">
        <v>132</v>
      </c>
      <c r="C35" s="23">
        <f t="shared" ref="C35:H36" si="17">C19+C28+C33</f>
        <v>0</v>
      </c>
      <c r="D35" s="23">
        <f t="shared" si="17"/>
        <v>0</v>
      </c>
      <c r="E35" s="23">
        <f t="shared" si="17"/>
        <v>0</v>
      </c>
      <c r="F35" s="23">
        <f t="shared" si="17"/>
        <v>4588539.684480004</v>
      </c>
      <c r="G35" s="23">
        <f t="shared" si="17"/>
        <v>281039.76840239979</v>
      </c>
      <c r="H35" s="23">
        <f t="shared" si="17"/>
        <v>12067305.659293205</v>
      </c>
    </row>
    <row r="36" spans="2:8" x14ac:dyDescent="0.2">
      <c r="B36" s="10" t="s">
        <v>133</v>
      </c>
      <c r="C36" s="23">
        <f t="shared" si="17"/>
        <v>0</v>
      </c>
      <c r="D36" s="23">
        <f t="shared" si="17"/>
        <v>0</v>
      </c>
      <c r="E36" s="23">
        <f t="shared" si="17"/>
        <v>0</v>
      </c>
      <c r="F36" s="23">
        <f t="shared" si="17"/>
        <v>509837.74272000045</v>
      </c>
      <c r="G36" s="23">
        <f t="shared" si="17"/>
        <v>31226.640933599963</v>
      </c>
      <c r="H36" s="23">
        <f t="shared" si="17"/>
        <v>2261213.7278236109</v>
      </c>
    </row>
    <row r="37" spans="2:8" x14ac:dyDescent="0.2">
      <c r="B37" s="10" t="s">
        <v>134</v>
      </c>
      <c r="C37" s="31">
        <f t="shared" ref="C37:H38" si="18">-C8+C35</f>
        <v>-6890400</v>
      </c>
      <c r="D37" s="31">
        <f t="shared" si="18"/>
        <v>-1083024</v>
      </c>
      <c r="E37" s="31">
        <f t="shared" si="18"/>
        <v>-925906.03200000001</v>
      </c>
      <c r="F37" s="31">
        <f t="shared" si="18"/>
        <v>4588539.684480004</v>
      </c>
      <c r="G37" s="31">
        <f t="shared" si="18"/>
        <v>281039.76840239979</v>
      </c>
      <c r="H37" s="31">
        <f t="shared" si="18"/>
        <v>12067305.659293205</v>
      </c>
    </row>
    <row r="38" spans="2:8" x14ac:dyDescent="0.2">
      <c r="B38" s="10" t="s">
        <v>135</v>
      </c>
      <c r="C38" s="31">
        <f t="shared" si="18"/>
        <v>-765600</v>
      </c>
      <c r="D38" s="31">
        <f t="shared" si="18"/>
        <v>-120336</v>
      </c>
      <c r="E38" s="31">
        <f t="shared" si="18"/>
        <v>-102878.448</v>
      </c>
      <c r="F38" s="31">
        <f t="shared" si="18"/>
        <v>509837.74272000045</v>
      </c>
      <c r="G38" s="31">
        <f t="shared" si="18"/>
        <v>31226.640933599963</v>
      </c>
      <c r="H38" s="31">
        <f t="shared" si="18"/>
        <v>2261213.7278236109</v>
      </c>
    </row>
    <row r="40" spans="2:8" x14ac:dyDescent="0.2">
      <c r="B40" s="9" t="s">
        <v>136</v>
      </c>
      <c r="C40" s="3"/>
      <c r="D40" s="3"/>
      <c r="E40" s="3"/>
      <c r="F40" s="3"/>
      <c r="G40" s="3"/>
      <c r="H40" s="3"/>
    </row>
    <row r="41" spans="2:8" x14ac:dyDescent="0.2">
      <c r="B41" s="13" t="s">
        <v>137</v>
      </c>
      <c r="C41" s="29">
        <f>IRR(C37:H37)</f>
        <v>0.17090268464702207</v>
      </c>
    </row>
    <row r="42" spans="2:8" x14ac:dyDescent="0.2">
      <c r="B42" s="13" t="s">
        <v>138</v>
      </c>
      <c r="C42" s="28">
        <f>SUM(D35:H35)/SUM(C8:H8)</f>
        <v>1.9031640641794783</v>
      </c>
    </row>
    <row r="43" spans="2:8" x14ac:dyDescent="0.2">
      <c r="B43" s="13" t="s">
        <v>139</v>
      </c>
      <c r="C43" s="29">
        <f>IRR(C38:H38)</f>
        <v>0.27684092474078192</v>
      </c>
    </row>
    <row r="44" spans="2:8" x14ac:dyDescent="0.2">
      <c r="B44" s="13" t="s">
        <v>140</v>
      </c>
      <c r="C44" s="28">
        <f>SUM(D36:H36)/SUM(C9:H9)</f>
        <v>2.8339777165930036</v>
      </c>
    </row>
    <row r="45" spans="2:8" x14ac:dyDescent="0.2">
      <c r="B45" s="13" t="s">
        <v>141</v>
      </c>
      <c r="C45" s="19">
        <f>SUM(D36:H36)-Assumptions!$C$33*SUM(D10:H10)</f>
        <v>828361.78911192901</v>
      </c>
    </row>
    <row r="46" spans="2:8" x14ac:dyDescent="0.2">
      <c r="B46" s="13" t="s">
        <v>142</v>
      </c>
      <c r="C46" s="19">
        <f>ROUND(SUM(D35:H35)+SUM(D36:H36)-SUM(D10:H10),0)</f>
        <v>0</v>
      </c>
    </row>
  </sheetData>
  <conditionalFormatting sqref="C46">
    <cfRule type="cellIs" dxfId="0" priority="2" operator="equal">
      <formula>0</formula>
    </cfRule>
  </conditionalFormatting>
  <pageMargins left="0.3" right="0.3" top="0.4" bottom="0.4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45"/>
  <sheetViews>
    <sheetView showGridLines="0" tabSelected="1" zoomScaleNormal="100" workbookViewId="0">
      <selection activeCell="H31" sqref="H31"/>
    </sheetView>
  </sheetViews>
  <sheetFormatPr baseColWidth="10" defaultColWidth="8.6640625" defaultRowHeight="15" x14ac:dyDescent="0.2"/>
  <cols>
    <col min="1" max="1" width="2" customWidth="1"/>
    <col min="2" max="2" width="30" customWidth="1"/>
    <col min="3" max="13" width="11" customWidth="1"/>
  </cols>
  <sheetData>
    <row r="1" spans="1:13" ht="21.75" customHeight="1" x14ac:dyDescent="0.2">
      <c r="A1" s="3"/>
      <c r="B1" s="4" t="s">
        <v>143</v>
      </c>
      <c r="C1" s="3"/>
      <c r="D1" s="3"/>
      <c r="E1" s="3"/>
      <c r="F1" s="3"/>
      <c r="G1" s="3"/>
      <c r="H1" s="3"/>
      <c r="I1" s="3"/>
      <c r="J1" s="3"/>
      <c r="K1" s="3"/>
      <c r="L1" s="32" t="s">
        <v>144</v>
      </c>
      <c r="M1" s="3"/>
    </row>
    <row r="2" spans="1:13" ht="21.75" customHeight="1" x14ac:dyDescent="0.2"/>
    <row r="3" spans="1:13" x14ac:dyDescent="0.2">
      <c r="B3" s="52" t="s">
        <v>145</v>
      </c>
    </row>
    <row r="4" spans="1:13" x14ac:dyDescent="0.2">
      <c r="B4" s="25" t="s">
        <v>146</v>
      </c>
    </row>
    <row r="6" spans="1:13" x14ac:dyDescent="0.2">
      <c r="B6" s="9" t="s">
        <v>147</v>
      </c>
      <c r="C6" s="3"/>
      <c r="D6" s="3"/>
      <c r="E6" s="3"/>
      <c r="F6" s="3"/>
      <c r="H6" s="9" t="s">
        <v>148</v>
      </c>
      <c r="I6" s="3"/>
      <c r="J6" s="3"/>
      <c r="K6" s="3"/>
      <c r="L6" s="3"/>
      <c r="M6" s="3"/>
    </row>
    <row r="7" spans="1:13" x14ac:dyDescent="0.2">
      <c r="B7" s="11" t="s">
        <v>25</v>
      </c>
      <c r="E7" s="33">
        <f>Assumptions!$C$6</f>
        <v>22000000</v>
      </c>
      <c r="H7" s="11" t="s">
        <v>149</v>
      </c>
      <c r="K7" s="34" t="s">
        <v>150</v>
      </c>
    </row>
    <row r="8" spans="1:13" x14ac:dyDescent="0.2">
      <c r="B8" s="11" t="s">
        <v>151</v>
      </c>
      <c r="E8" s="33">
        <f>Assumptions!$C$6*Assumptions!$C$7</f>
        <v>1100000</v>
      </c>
      <c r="H8" s="11" t="s">
        <v>152</v>
      </c>
      <c r="K8" s="34" t="s">
        <v>153</v>
      </c>
    </row>
    <row r="9" spans="1:13" x14ac:dyDescent="0.2">
      <c r="B9" s="11" t="s">
        <v>75</v>
      </c>
      <c r="E9" s="33">
        <f>Assumptions!$C$8*Assumptions!$C$5</f>
        <v>2640000</v>
      </c>
      <c r="H9" s="11" t="s">
        <v>154</v>
      </c>
      <c r="K9" s="34" t="s">
        <v>155</v>
      </c>
    </row>
    <row r="10" spans="1:13" x14ac:dyDescent="0.2">
      <c r="B10" s="11" t="s">
        <v>156</v>
      </c>
      <c r="E10" s="35">
        <f>'Property Model'!C20</f>
        <v>25740000</v>
      </c>
      <c r="H10" s="11" t="s">
        <v>71</v>
      </c>
      <c r="K10" s="34" t="s">
        <v>157</v>
      </c>
    </row>
    <row r="11" spans="1:13" x14ac:dyDescent="0.2">
      <c r="B11" s="11" t="s">
        <v>158</v>
      </c>
      <c r="E11" s="33">
        <f>'Property Model'!C21</f>
        <v>15444000</v>
      </c>
      <c r="H11" s="11" t="s">
        <v>159</v>
      </c>
      <c r="K11" s="34" t="s">
        <v>160</v>
      </c>
    </row>
    <row r="12" spans="1:13" x14ac:dyDescent="0.2">
      <c r="B12" s="36" t="s">
        <v>161</v>
      </c>
      <c r="E12" s="35">
        <f>'Property Model'!C22</f>
        <v>10296000</v>
      </c>
      <c r="H12" s="11" t="s">
        <v>162</v>
      </c>
      <c r="K12" s="34" t="s">
        <v>163</v>
      </c>
    </row>
    <row r="14" spans="1:13" x14ac:dyDescent="0.2">
      <c r="B14" s="9" t="s">
        <v>93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2">
      <c r="C15" s="37" t="s">
        <v>164</v>
      </c>
      <c r="E15" s="37" t="s">
        <v>165</v>
      </c>
      <c r="G15" s="37" t="s">
        <v>166</v>
      </c>
    </row>
    <row r="16" spans="1:13" x14ac:dyDescent="0.2">
      <c r="B16" s="10" t="s">
        <v>167</v>
      </c>
      <c r="C16" s="38">
        <f>'Property Model'!C44</f>
        <v>0.18345472188465739</v>
      </c>
      <c r="E16" s="38">
        <f>'JV Waterfall'!C41</f>
        <v>0.17090268464702207</v>
      </c>
      <c r="G16" s="38">
        <f>'JV Waterfall'!C43</f>
        <v>0.27684092474078192</v>
      </c>
    </row>
    <row r="17" spans="2:13" x14ac:dyDescent="0.2">
      <c r="B17" s="13" t="s">
        <v>168</v>
      </c>
      <c r="C17" s="39">
        <f>'Property Model'!C45</f>
        <v>1.9962454294208309</v>
      </c>
      <c r="E17" s="39">
        <f>'JV Waterfall'!C42</f>
        <v>1.9031640641794783</v>
      </c>
      <c r="G17" s="39">
        <f>'JV Waterfall'!C44</f>
        <v>2.8339777165930036</v>
      </c>
    </row>
    <row r="18" spans="2:13" x14ac:dyDescent="0.2">
      <c r="B18" s="13" t="s">
        <v>169</v>
      </c>
      <c r="C18" s="40">
        <f>'Property Model'!C42</f>
        <v>0.10662946871610446</v>
      </c>
      <c r="G18" s="33">
        <f>'JV Waterfall'!C45</f>
        <v>828361.78911192901</v>
      </c>
    </row>
    <row r="20" spans="2:13" x14ac:dyDescent="0.2">
      <c r="B20" s="9" t="s">
        <v>170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2:13" x14ac:dyDescent="0.2">
      <c r="B21" s="10" t="s">
        <v>171</v>
      </c>
      <c r="C21" s="41">
        <v>0.04</v>
      </c>
      <c r="D21" s="41">
        <v>4.2500000000000003E-2</v>
      </c>
      <c r="E21" s="42">
        <v>4.4999999999999998E-2</v>
      </c>
      <c r="F21" s="41">
        <v>4.7500000000000001E-2</v>
      </c>
      <c r="G21" s="41">
        <v>0.05</v>
      </c>
    </row>
    <row r="22" spans="2:13" x14ac:dyDescent="0.2">
      <c r="B22" s="10" t="s">
        <v>172</v>
      </c>
      <c r="C22" s="43">
        <f>IRR(C40:C45)</f>
        <v>0.23510910251621753</v>
      </c>
      <c r="D22" s="43">
        <f>IRR(D40:D45)</f>
        <v>0.20893387654298401</v>
      </c>
      <c r="E22" s="44">
        <f>IRR(E40:E45)</f>
        <v>0.18345472188465739</v>
      </c>
      <c r="F22" s="43">
        <f>IRR(F40:F45)</f>
        <v>0.15848138550898083</v>
      </c>
      <c r="G22" s="43">
        <f>IRR(G40:G45)</f>
        <v>0.13383450408410624</v>
      </c>
    </row>
    <row r="24" spans="2:13" x14ac:dyDescent="0.2">
      <c r="B24" s="9" t="s">
        <v>173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2:13" ht="43" customHeight="1" x14ac:dyDescent="0.2">
      <c r="B25" s="53" t="s">
        <v>177</v>
      </c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</row>
    <row r="26" spans="2:13" x14ac:dyDescent="0.2">
      <c r="B26" s="55" t="s">
        <v>178</v>
      </c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</row>
    <row r="27" spans="2:13" x14ac:dyDescent="0.2">
      <c r="B27" s="55" t="s">
        <v>179</v>
      </c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</row>
    <row r="28" spans="2:13" x14ac:dyDescent="0.2">
      <c r="B28" s="55" t="s">
        <v>180</v>
      </c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</row>
    <row r="40" spans="2:7" x14ac:dyDescent="0.2">
      <c r="B40" s="45" t="s">
        <v>174</v>
      </c>
      <c r="C40" s="46">
        <f>'Property Model'!C40</f>
        <v>-7656000</v>
      </c>
      <c r="D40" s="46">
        <f>'Property Model'!C40</f>
        <v>-7656000</v>
      </c>
      <c r="E40" s="46">
        <f>'Property Model'!C40</f>
        <v>-7656000</v>
      </c>
      <c r="F40" s="46">
        <f>'Property Model'!C40</f>
        <v>-7656000</v>
      </c>
      <c r="G40" s="46">
        <f>'Property Model'!C40</f>
        <v>-7656000</v>
      </c>
    </row>
    <row r="41" spans="2:7" x14ac:dyDescent="0.2">
      <c r="C41" s="46">
        <f>'Property Model'!D40</f>
        <v>-1203360</v>
      </c>
      <c r="D41" s="46">
        <f>'Property Model'!D40</f>
        <v>-1203360</v>
      </c>
      <c r="E41" s="46">
        <f>'Property Model'!D40</f>
        <v>-1203360</v>
      </c>
      <c r="F41" s="46">
        <f>'Property Model'!D40</f>
        <v>-1203360</v>
      </c>
      <c r="G41" s="46">
        <f>'Property Model'!D40</f>
        <v>-1203360</v>
      </c>
    </row>
    <row r="42" spans="2:7" x14ac:dyDescent="0.2">
      <c r="C42" s="46">
        <f>'Property Model'!E40</f>
        <v>-1028784.48</v>
      </c>
      <c r="D42" s="46">
        <f>'Property Model'!E40</f>
        <v>-1028784.48</v>
      </c>
      <c r="E42" s="46">
        <f>'Property Model'!E40</f>
        <v>-1028784.48</v>
      </c>
      <c r="F42" s="46">
        <f>'Property Model'!E40</f>
        <v>-1028784.48</v>
      </c>
      <c r="G42" s="46">
        <f>'Property Model'!E40</f>
        <v>-1028784.48</v>
      </c>
    </row>
    <row r="43" spans="2:7" x14ac:dyDescent="0.2">
      <c r="C43" s="46">
        <f>'Property Model'!F40</f>
        <v>5098377.4272000045</v>
      </c>
      <c r="D43" s="46">
        <f>'Property Model'!F40</f>
        <v>5098377.4272000045</v>
      </c>
      <c r="E43" s="46">
        <f>'Property Model'!F40</f>
        <v>5098377.4272000045</v>
      </c>
      <c r="F43" s="46">
        <f>'Property Model'!F40</f>
        <v>5098377.4272000045</v>
      </c>
      <c r="G43" s="46">
        <f>'Property Model'!F40</f>
        <v>5098377.4272000045</v>
      </c>
    </row>
    <row r="44" spans="2:7" x14ac:dyDescent="0.2">
      <c r="C44" s="46">
        <f>'Property Model'!G40</f>
        <v>312266.40933599975</v>
      </c>
      <c r="D44" s="46">
        <f>'Property Model'!G40</f>
        <v>312266.40933599975</v>
      </c>
      <c r="E44" s="46">
        <f>'Property Model'!G40</f>
        <v>312266.40933599975</v>
      </c>
      <c r="F44" s="46">
        <f>'Property Model'!G40</f>
        <v>312266.40933599975</v>
      </c>
      <c r="G44" s="46">
        <f>'Property Model'!G40</f>
        <v>312266.40933599975</v>
      </c>
    </row>
    <row r="45" spans="2:7" x14ac:dyDescent="0.2">
      <c r="C45" s="46">
        <f>('Property Model'!H15+'Property Model'!H29+('Property Model'!I15/0.04*(1-Assumptions!$C$29)-'Property Model'!F27))</f>
        <v>18580898.990019616</v>
      </c>
      <c r="D45" s="46">
        <f>('Property Model'!H15+'Property Model'!H29+('Property Model'!I15/0.0425*(1-Assumptions!$C$29)-'Property Model'!F27))</f>
        <v>16329639.200247545</v>
      </c>
      <c r="E45" s="46">
        <f>('Property Model'!H15+'Property Model'!H29+('Property Model'!I15/0.045*(1-Assumptions!$C$29)-'Property Model'!F27))</f>
        <v>14328519.387116816</v>
      </c>
      <c r="F45" s="46">
        <f>('Property Model'!H15+'Property Model'!H29+('Property Model'!I15/0.0475*(1-Assumptions!$C$29)-'Property Model'!F27))</f>
        <v>12538043.764841951</v>
      </c>
      <c r="G45" s="46">
        <f>('Property Model'!H15+'Property Model'!H29+('Property Model'!I15/0.05*(1-Assumptions!$C$29)-'Property Model'!F27))</f>
        <v>10926615.704794571</v>
      </c>
    </row>
  </sheetData>
  <mergeCells count="4">
    <mergeCell ref="B25:M25"/>
    <mergeCell ref="B26:M26"/>
    <mergeCell ref="B27:M27"/>
    <mergeCell ref="B28:M28"/>
  </mergeCells>
  <pageMargins left="0.3" right="0.3" top="0.4" bottom="0.4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Assumptions</vt:lpstr>
      <vt:lpstr>Property Model</vt:lpstr>
      <vt:lpstr>JV Waterfall</vt:lpstr>
      <vt:lpstr>IC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Pratik chougule</cp:lastModifiedBy>
  <cp:revision>0</cp:revision>
  <dcterms:created xsi:type="dcterms:W3CDTF">2026-08-24T15:35:11Z</dcterms:created>
  <dcterms:modified xsi:type="dcterms:W3CDTF">2026-08-25T07:16:03Z</dcterms:modified>
  <dc:language>en-US</dc:language>
</cp:coreProperties>
</file>